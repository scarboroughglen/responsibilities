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Reserve Schedule" sheetId="2" state="visible" r:id="rId2"/>
    <sheet name="Components" sheetId="3" state="visible" r:id="rId3"/>
    <sheet name="Expenditure Char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2F5496"/>
      <sz val="12"/>
    </font>
    <font>
      <name val="Calibri"/>
      <b val="1"/>
      <sz val="11"/>
    </font>
    <font>
      <name val="Calibri"/>
      <sz val="11"/>
    </font>
    <font>
      <name val="Calibri"/>
      <i val="1"/>
      <color rgb="00666666"/>
      <sz val="10"/>
    </font>
    <font>
      <name val="Calibri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00FFF2CC"/>
        <bgColor rgb="00FFF2CC"/>
      </patternFill>
    </fill>
    <fill>
      <patternFill patternType="solid">
        <fgColor rgb="002F5496"/>
        <bgColor rgb="002F5496"/>
      </patternFill>
    </fill>
    <fill>
      <patternFill patternType="solid">
        <fgColor rgb="004472C4"/>
        <bgColor rgb="004472C4"/>
      </patternFill>
    </fill>
    <fill>
      <patternFill patternType="solid">
        <fgColor rgb="00ED7D31"/>
        <bgColor rgb="00ED7D31"/>
      </patternFill>
    </fill>
    <fill>
      <patternFill patternType="solid">
        <fgColor rgb="00A5A5A5"/>
        <bgColor rgb="00A5A5A5"/>
      </patternFill>
    </fill>
    <fill>
      <patternFill patternType="solid">
        <fgColor rgb="00FFC000"/>
        <bgColor rgb="00FFC000"/>
      </patternFill>
    </fill>
    <fill>
      <patternFill patternType="solid">
        <fgColor rgb="005B9BD5"/>
        <bgColor rgb="005B9BD5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3" fontId="4" fillId="0" borderId="0" pivotButton="0" quotePrefix="0" xfId="0"/>
    <xf numFmtId="0" fontId="5" fillId="0" borderId="0" pivotButton="0" quotePrefix="0" xfId="0"/>
    <xf numFmtId="3" fontId="3" fillId="0" borderId="0" pivotButton="0" quotePrefix="0" xfId="0"/>
    <xf numFmtId="3" fontId="3" fillId="2" borderId="1" pivotButton="0" quotePrefix="0" xfId="0"/>
    <xf numFmtId="10" fontId="3" fillId="2" borderId="1" pivotButton="0" quotePrefix="0" xfId="0"/>
    <xf numFmtId="3" fontId="3" fillId="0" borderId="1" pivotButton="0" quotePrefix="0" xfId="0"/>
    <xf numFmtId="0" fontId="6" fillId="3" borderId="1" applyAlignment="1" pivotButton="0" quotePrefix="0" xfId="0">
      <alignment horizontal="center" wrapText="1"/>
    </xf>
    <xf numFmtId="0" fontId="4" fillId="0" borderId="1" pivotButton="0" quotePrefix="0" xfId="0"/>
    <xf numFmtId="3" fontId="0" fillId="0" borderId="1" pivotButton="0" quotePrefix="0" xfId="0"/>
    <xf numFmtId="3" fontId="4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horizontal="center"/>
    </xf>
    <xf numFmtId="0" fontId="3" fillId="0" borderId="1" pivotButton="0" quotePrefix="0" xfId="0"/>
    <xf numFmtId="10" fontId="4" fillId="0" borderId="1" pivotButton="0" quotePrefix="0" xfId="0"/>
    <xf numFmtId="0" fontId="0" fillId="4" borderId="1" pivotButton="0" quotePrefix="0" xfId="0"/>
    <xf numFmtId="3" fontId="0" fillId="0" borderId="0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8" borderId="1" pivotButton="0" quotePrefix="0" xfId="0"/>
  </cellXfs>
  <cellStyles count="1">
    <cellStyle name="Normal" xfId="0" builtinId="0" hidden="0"/>
  </cellStyles>
  <dxfs count="1">
    <dxf>
      <font>
        <name val="Calibri"/>
        <b val="1"/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Scarborough Glen Condo Association IV — Projected Expenditures by Year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'Expenditure Chart'!F2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'Expenditure Chart'!$E$3:$E$6</f>
            </numRef>
          </cat>
          <val>
            <numRef>
              <f>'Expenditure Chart'!$F$3:$F$6</f>
            </numRef>
          </val>
        </ser>
        <ser>
          <idx val="1"/>
          <order val="1"/>
          <tx>
            <strRef>
              <f>'Expenditure Chart'!G2</f>
            </strRef>
          </tx>
          <spPr>
            <a:solidFill>
              <a:srgbClr val="ED7D31"/>
            </a:solidFill>
            <a:ln>
              <a:prstDash val="solid"/>
            </a:ln>
          </spPr>
          <cat>
            <numRef>
              <f>'Expenditure Chart'!$E$3:$E$6</f>
            </numRef>
          </cat>
          <val>
            <numRef>
              <f>'Expenditure Chart'!$G$3:$G$6</f>
            </numRef>
          </val>
        </ser>
        <ser>
          <idx val="2"/>
          <order val="2"/>
          <tx>
            <strRef>
              <f>'Expenditure Chart'!H2</f>
            </strRef>
          </tx>
          <spPr>
            <a:solidFill>
              <a:srgbClr val="A5A5A5"/>
            </a:solidFill>
            <a:ln>
              <a:prstDash val="solid"/>
            </a:ln>
          </spPr>
          <cat>
            <numRef>
              <f>'Expenditure Chart'!$E$3:$E$6</f>
            </numRef>
          </cat>
          <val>
            <numRef>
              <f>'Expenditure Chart'!$H$3:$H$6</f>
            </numRef>
          </val>
        </ser>
        <ser>
          <idx val="3"/>
          <order val="3"/>
          <tx>
            <strRef>
              <f>'Expenditure Chart'!I2</f>
            </strRef>
          </tx>
          <spPr>
            <a:solidFill>
              <a:srgbClr val="FFC000"/>
            </a:solidFill>
            <a:ln>
              <a:prstDash val="solid"/>
            </a:ln>
          </spPr>
          <cat>
            <numRef>
              <f>'Expenditure Chart'!$E$3:$E$6</f>
            </numRef>
          </cat>
          <val>
            <numRef>
              <f>'Expenditure Chart'!$I$3:$I$6</f>
            </numRef>
          </val>
        </ser>
        <ser>
          <idx val="4"/>
          <order val="4"/>
          <tx>
            <strRef>
              <f>'Expenditure Chart'!J2</f>
            </strRef>
          </tx>
          <spPr>
            <a:solidFill>
              <a:srgbClr val="5B9BD5"/>
            </a:solidFill>
            <a:ln>
              <a:prstDash val="solid"/>
            </a:ln>
          </spPr>
          <cat>
            <numRef>
              <f>'Expenditure Chart'!$E$3:$E$6</f>
            </numRef>
          </cat>
          <val>
            <numRef>
              <f>'Expenditure Chart'!$J$3:$J$6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numFmt formatCode="0" sourceLinked="0"/>
        <majorTickMark val="out"/>
        <minorTickMark val="none"/>
        <tickLblPos val="low"/>
        <txPr>
          <a:bodyPr rot="-5400000"/>
          <a:p>
            <a:pPr>
              <a:defRPr sz="1000"/>
            </a:pPr>
            <a:r>
              <a:t/>
            </a:r>
            <a:endParaRPr sz="1000"/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Cost ($)</a:t>
                </a:r>
              </a:p>
            </rich>
          </tx>
        </title>
        <numFmt formatCode="$#,##0,K" sourceLinked="0"/>
        <majorTickMark val="none"/>
        <minorTickMark val="none"/>
        <tickLblPos val="low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12960000" cy="72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2F5496"/>
    <outlinePr summaryBelow="1" summaryRight="1"/>
    <pageSetUpPr/>
  </sheetPr>
  <dimension ref="B1:E63"/>
  <sheetViews>
    <sheetView workbookViewId="0">
      <selection activeCell="A1" sqref="A1"/>
    </sheetView>
  </sheetViews>
  <sheetFormatPr baseColWidth="8" defaultRowHeight="15"/>
  <cols>
    <col width="3" customWidth="1" min="1" max="1"/>
    <col width="45" customWidth="1" min="2" max="2"/>
    <col width="20" customWidth="1" min="3" max="3"/>
    <col width="20" customWidth="1" min="4" max="4"/>
    <col width="20" customWidth="1" min="5" max="5"/>
  </cols>
  <sheetData>
    <row r="1">
      <c r="B1" s="1" t="inlineStr">
        <is>
          <t>Scarborough Glen Condo Association IV</t>
        </is>
      </c>
    </row>
    <row r="2">
      <c r="B2" s="2" t="inlineStr">
        <is>
          <t>Capital Reserve Funding Plan</t>
        </is>
      </c>
    </row>
    <row r="4">
      <c r="B4" s="3" t="inlineStr">
        <is>
          <t>Data Sources:</t>
        </is>
      </c>
    </row>
    <row r="5">
      <c r="B5" s="4" t="inlineStr">
        <is>
          <t>Based on Becht Engineering Capital Reserve Study (Project 25-1140, February 2026)</t>
        </is>
      </c>
    </row>
    <row r="6">
      <c r="B6" s="4" t="inlineStr">
        <is>
          <t>Entity allocations derived from Falcon Group Report (2022) per-entity quantity ratios</t>
        </is>
      </c>
    </row>
    <row r="8">
      <c r="B8" s="2" t="inlineStr">
        <is>
          <t>Overview</t>
        </is>
      </c>
    </row>
    <row r="9">
      <c r="B9" s="4" t="inlineStr">
        <is>
          <t>Number of units: 98</t>
        </is>
      </c>
    </row>
    <row r="10">
      <c r="B10" s="4" t="inlineStr">
        <is>
          <t>Total replacement cost (current dollars): $3,211,033</t>
        </is>
      </c>
    </row>
    <row r="11">
      <c r="B11" s="4" t="inlineStr">
        <is>
          <t>Baseline Year-1 annual contribution: $99,619</t>
        </is>
      </c>
    </row>
    <row r="12">
      <c r="B12" s="4" t="inlineStr">
        <is>
          <t>Starting reserve balance (2026): $207,172</t>
        </is>
      </c>
    </row>
    <row r="13">
      <c r="B13" s="4" t="inlineStr">
        <is>
          <t>Planning horizon: 2026-2050 (25 years)</t>
        </is>
      </c>
    </row>
    <row r="15">
      <c r="B15" s="2" t="inlineStr">
        <is>
          <t>Funding Model Assumptions</t>
        </is>
      </c>
    </row>
    <row r="16">
      <c r="B16" s="4" t="inlineStr">
        <is>
          <t>Annual contributions grow at a configurable rate (default 3%) to keep pace with inflation.</t>
        </is>
      </c>
    </row>
    <row r="17">
      <c r="B17" s="4" t="inlineStr">
        <is>
          <t>Reserve funds earn interest at a configurable rate (default 1%) annually.</t>
        </is>
      </c>
    </row>
    <row r="18">
      <c r="B18" s="4" t="inlineStr">
        <is>
          <t>Disbursements (expenditures) occur in the year projected by the Becht engineering study.</t>
        </is>
      </c>
    </row>
    <row r="19">
      <c r="B19" s="4" t="inlineStr">
        <is>
          <t>All disbursement amounts include 3% annual inflation applied to current replacement costs.</t>
        </is>
      </c>
    </row>
    <row r="21">
      <c r="B21" s="2" t="inlineStr">
        <is>
          <t>Reserve Schedule Sheet — Column Guide</t>
        </is>
      </c>
    </row>
    <row r="22">
      <c r="B22" s="3" t="inlineStr">
        <is>
          <t>Year</t>
        </is>
      </c>
      <c r="C22" s="4" t="inlineStr">
        <is>
          <t>Calendar year (2026-2050)</t>
        </is>
      </c>
    </row>
    <row r="23">
      <c r="B23" s="3" t="inlineStr">
        <is>
          <t>Opening Balance</t>
        </is>
      </c>
      <c r="C23" s="4" t="inlineStr">
        <is>
          <t>Reserve fund balance at start of year (= prior year's Closing Balance)</t>
        </is>
      </c>
    </row>
    <row r="24">
      <c r="B24" s="3" t="inlineStr">
        <is>
          <t>Annual Contribution</t>
        </is>
      </c>
      <c r="C24" s="4" t="inlineStr">
        <is>
          <t>Amount contributed this year; grows by the Growth Rate each year</t>
        </is>
      </c>
    </row>
    <row r="25">
      <c r="B25" s="3" t="inlineStr">
        <is>
          <t>Disbursement</t>
        </is>
      </c>
      <c r="C25" s="4" t="inlineStr">
        <is>
          <t>Total expenditures in this year for component replacements</t>
        </is>
      </c>
    </row>
    <row r="26">
      <c r="B26" s="3" t="inlineStr">
        <is>
          <t>Interest Earned</t>
        </is>
      </c>
      <c r="C26" s="4" t="inlineStr">
        <is>
          <t>Interest on the Opening Balance at the configured Interest Rate</t>
        </is>
      </c>
    </row>
    <row r="27">
      <c r="B27" s="3" t="inlineStr">
        <is>
          <t>Closing Balance</t>
        </is>
      </c>
      <c r="C27" s="4" t="inlineStr">
        <is>
          <t>Opening + Contribution - Disbursement + Interest</t>
        </is>
      </c>
    </row>
    <row r="28">
      <c r="B28" s="3" t="inlineStr">
        <is>
          <t>Monthly Cost/Unit</t>
        </is>
      </c>
      <c r="C28" s="4" t="inlineStr">
        <is>
          <t>Annual Contribution / Number of Units / 12 months</t>
        </is>
      </c>
    </row>
    <row r="29">
      <c r="B29" s="3" t="inlineStr">
        <is>
          <t>Floor Check</t>
        </is>
      </c>
      <c r="C29" s="4" t="inlineStr">
        <is>
          <t>Shows 'BELOW FLOOR' if Closing Balance &lt; Total Floor Amount (Per Unit x Units); blank if OK</t>
        </is>
      </c>
    </row>
    <row r="31">
      <c r="B31" s="2" t="inlineStr">
        <is>
          <t>Floor Amount Per Unit (Minimum Balance Threshold)</t>
        </is>
      </c>
    </row>
    <row r="32">
      <c r="B32" s="4" t="inlineStr">
        <is>
          <t>The Floor Amount is set PER UNIT and multiplied by your unit count to get the total minimum balance.</t>
        </is>
      </c>
    </row>
    <row r="33">
      <c r="B33" s="4" t="inlineStr">
        <is>
          <t>Default: $1,500/unit x 98 units = $147,000 total floor.</t>
        </is>
      </c>
    </row>
    <row r="34">
      <c r="B34" s="4" t="inlineStr">
        <is>
          <t>This default is approximately 5% of your per-unit replacement cost ($32,766/unit).</t>
        </is>
      </c>
    </row>
    <row r="35">
      <c r="B35" s="4" t="inlineStr">
        <is>
          <t>Set to $0/unit for baseline (no cushion — fund may hit zero).</t>
        </is>
      </c>
    </row>
    <row r="36">
      <c r="B36" s="4" t="inlineStr">
        <is>
          <t>A 10% threshold would be ~$3,250/unit ($321,103 total).</t>
        </is>
      </c>
    </row>
    <row r="37">
      <c r="B37" s="4" t="inlineStr">
        <is>
          <t>Higher floor = more protection against surprises but higher annual contributions needed.</t>
        </is>
      </c>
    </row>
    <row r="38">
      <c r="B38" s="4" t="inlineStr">
        <is>
          <t>The yellow 'Floor Amount Per Unit' cell on the Reserve Schedule sheet is where you set this.</t>
        </is>
      </c>
    </row>
    <row r="39">
      <c r="B39" s="4" t="inlineStr">
        <is>
          <t>Total Floor Amount is calculated automatically (Per Unit x Units).</t>
        </is>
      </c>
    </row>
    <row r="41">
      <c r="B41" s="2" t="inlineStr">
        <is>
          <t>Components Covered by This Plan</t>
        </is>
      </c>
    </row>
    <row r="42">
      <c r="B42" s="4" t="inlineStr">
        <is>
          <t>See the 'Components' sheet for full detail. Summary:</t>
        </is>
      </c>
    </row>
    <row r="44">
      <c r="B44" s="3" t="inlineStr">
        <is>
          <t>Component</t>
        </is>
      </c>
      <c r="C44" s="3" t="inlineStr">
        <is>
          <t>Allocated Cost</t>
        </is>
      </c>
      <c r="D44" s="3" t="inlineStr">
        <is>
          <t>Replacement Year</t>
        </is>
      </c>
    </row>
    <row r="45">
      <c r="B45" s="4" t="inlineStr">
        <is>
          <t>Siding, Vinyl (Condo IV share)</t>
        </is>
      </c>
      <c r="C45" s="5" t="n">
        <v>1651860</v>
      </c>
      <c r="D45" s="4" t="n">
        <v>2049</v>
      </c>
    </row>
    <row r="46">
      <c r="B46" s="4" t="inlineStr">
        <is>
          <t>Roof, Shingles - Townhouses (Condo IV share)</t>
        </is>
      </c>
      <c r="C46" s="5" t="n">
        <v>880045</v>
      </c>
      <c r="D46" s="4" t="n">
        <v>2050</v>
      </c>
    </row>
    <row r="47">
      <c r="B47" s="4" t="inlineStr">
        <is>
          <t>Asphalt Driveways (Condo IV share)</t>
        </is>
      </c>
      <c r="C47" s="5" t="n">
        <v>254562</v>
      </c>
      <c r="D47" s="4" t="n">
        <v>2036</v>
      </c>
    </row>
    <row r="48">
      <c r="B48" s="4" t="inlineStr">
        <is>
          <t>Deck Replacement, Wood (Condo IV share)</t>
        </is>
      </c>
      <c r="C48" s="5" t="n">
        <v>161876</v>
      </c>
      <c r="D48" s="4" t="n">
        <v>2033</v>
      </c>
    </row>
    <row r="49">
      <c r="B49" s="4" t="inlineStr">
        <is>
          <t>Deck Replacement, Composite (Condo IV share)</t>
        </is>
      </c>
      <c r="C49" s="5" t="n">
        <v>132444</v>
      </c>
      <c r="D49" s="4" t="n">
        <v>2053</v>
      </c>
    </row>
    <row r="50">
      <c r="B50" s="4" t="inlineStr">
        <is>
          <t>Chimney Chase Covers (Condo IV share)</t>
        </is>
      </c>
      <c r="C50" s="5" t="n">
        <v>125160</v>
      </c>
      <c r="D50" s="4" t="n">
        <v>2031</v>
      </c>
    </row>
    <row r="51">
      <c r="B51" s="4" t="inlineStr">
        <is>
          <t>Concrete Sidewalks (Condo IV share)</t>
        </is>
      </c>
      <c r="C51" s="5" t="n">
        <v>5086</v>
      </c>
      <c r="D51" s="4" t="n">
        <v>2033</v>
      </c>
    </row>
    <row r="53">
      <c r="B53" s="2" t="inlineStr">
        <is>
          <t>Items NOT Included (Budget Separately)</t>
        </is>
      </c>
    </row>
    <row r="54">
      <c r="B54" s="4" t="inlineStr">
        <is>
          <t>The following items from the Falcon 2022 report are NOT in the Becht 2026 study and are therefore NOT included in this funding schedule. Consider budgeting for these items separately.</t>
        </is>
      </c>
    </row>
    <row r="56">
      <c r="B56" s="3" t="inlineStr">
        <is>
          <t>Item</t>
        </is>
      </c>
      <c r="C56" s="3" t="inlineStr">
        <is>
          <t>Falcon Est. Cost</t>
        </is>
      </c>
      <c r="D56" s="3" t="inlineStr">
        <is>
          <t>Notes</t>
        </is>
      </c>
    </row>
    <row r="57">
      <c r="B57" s="4" t="inlineStr">
        <is>
          <t>Entry Stoops/Porches (recurring)</t>
        </is>
      </c>
      <c r="C57" s="5" t="n">
        <v>10000</v>
      </c>
      <c r="D57" s="6" t="inlineStr">
        <is>
          <t>End unit porches on 5-yr cycle; Falcon estimated $10,000/cycle</t>
        </is>
      </c>
    </row>
    <row r="58">
      <c r="B58" s="4" t="inlineStr">
        <is>
          <t>Privacy Fence, Vinyl</t>
        </is>
      </c>
      <c r="C58" s="5" t="n">
        <v>7735</v>
      </c>
      <c r="D58" s="6" t="inlineStr">
        <is>
          <t>Condo-specific fencing; Falcon estimated $7,735</t>
        </is>
      </c>
    </row>
    <row r="59">
      <c r="B59" s="4" t="inlineStr">
        <is>
          <t>Retaining Wall, Wood Tie Wells</t>
        </is>
      </c>
      <c r="C59" s="5" t="n">
        <v>15000</v>
      </c>
      <c r="D59" s="6" t="inlineStr">
        <is>
          <t>Structural/safety; Falcon estimated $15,000</t>
        </is>
      </c>
    </row>
    <row r="60">
      <c r="B60" s="4" t="inlineStr">
        <is>
          <t>Driveway Seal Coat (recurring 5-yr cycle)</t>
        </is>
      </c>
      <c r="C60" s="5" t="n">
        <v>9473</v>
      </c>
      <c r="D60" s="6" t="inlineStr">
        <is>
          <t>Recurring maintenance; Falcon estimated $9,473/cycle</t>
        </is>
      </c>
    </row>
    <row r="61">
      <c r="B61" s="3" t="inlineStr">
        <is>
          <t>TOTAL OMITTED</t>
        </is>
      </c>
      <c r="C61" s="7" t="n">
        <v>42208</v>
      </c>
    </row>
    <row r="63">
      <c r="B63" s="6" t="inlineStr">
        <is>
          <t>Prepared June 2026. Review and update annually.</t>
        </is>
      </c>
    </row>
  </sheetData>
  <mergeCells count="1">
    <mergeCell ref="B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548235"/>
    <outlinePr summaryBelow="1" summaryRight="1"/>
    <pageSetUpPr/>
  </sheetPr>
  <dimension ref="A1:N37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20" customWidth="1" min="3" max="3"/>
    <col width="18" customWidth="1" min="4" max="4"/>
    <col width="16" customWidth="1" min="5" max="5"/>
    <col width="18" customWidth="1" min="6" max="6"/>
    <col width="18" customWidth="1" min="7" max="7"/>
    <col width="16" customWidth="1" min="8" max="8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</cols>
  <sheetData>
    <row r="1">
      <c r="A1" s="2" t="inlineStr">
        <is>
          <t>RESERVE FUNDING INPUTS</t>
        </is>
      </c>
    </row>
    <row r="2">
      <c r="A2" s="3" t="inlineStr">
        <is>
          <t>Starting Balance (2026):</t>
        </is>
      </c>
      <c r="B2" s="8" t="n">
        <v>207172</v>
      </c>
    </row>
    <row r="3">
      <c r="A3" s="3" t="inlineStr">
        <is>
          <t>Year-1 Annual Contribution:</t>
        </is>
      </c>
      <c r="B3" s="8" t="n">
        <v>99619</v>
      </c>
    </row>
    <row r="4">
      <c r="A4" s="3" t="inlineStr">
        <is>
          <t>Annual Contribution Growth Rate:</t>
        </is>
      </c>
      <c r="B4" s="9" t="n">
        <v>0.03</v>
      </c>
    </row>
    <row r="5">
      <c r="A5" s="3" t="inlineStr">
        <is>
          <t>Interest Rate on Reserves:</t>
        </is>
      </c>
      <c r="B5" s="9" t="n">
        <v>0.01</v>
      </c>
    </row>
    <row r="6">
      <c r="A6" s="3" t="inlineStr">
        <is>
          <t>Floor Amount Per Unit:</t>
        </is>
      </c>
      <c r="B6" s="8" t="n">
        <v>1500</v>
      </c>
    </row>
    <row r="7">
      <c r="A7" s="3" t="inlineStr">
        <is>
          <t>Number of Units:</t>
        </is>
      </c>
      <c r="B7" s="8" t="n">
        <v>98</v>
      </c>
    </row>
    <row r="8">
      <c r="A8" s="3" t="inlineStr">
        <is>
          <t>Total Floor Amount:</t>
        </is>
      </c>
      <c r="B8" s="10">
        <f>$B$6*$B$7</f>
        <v/>
      </c>
    </row>
    <row r="9">
      <c r="A9" s="6" t="inlineStr">
        <is>
          <t>Edit the yellow cells above to customize your plan. Total Floor = Per Unit Floor x Units.</t>
        </is>
      </c>
    </row>
    <row r="10">
      <c r="J10" s="2" t="inlineStr">
        <is>
          <t>DISBURSEMENT DETAIL</t>
        </is>
      </c>
    </row>
    <row r="11">
      <c r="A11" s="11" t="inlineStr">
        <is>
          <t>Year</t>
        </is>
      </c>
      <c r="B11" s="11" t="inlineStr">
        <is>
          <t>Opening Balance</t>
        </is>
      </c>
      <c r="C11" s="11" t="inlineStr">
        <is>
          <t>Annual Contribution</t>
        </is>
      </c>
      <c r="D11" s="11" t="inlineStr">
        <is>
          <t>Disbursement</t>
        </is>
      </c>
      <c r="E11" s="11" t="inlineStr">
        <is>
          <t>Interest Earned</t>
        </is>
      </c>
      <c r="F11" s="11" t="inlineStr">
        <is>
          <t>Closing Balance</t>
        </is>
      </c>
      <c r="G11" s="11" t="inlineStr">
        <is>
          <t>Monthly Cost/Unit</t>
        </is>
      </c>
      <c r="H11" s="11" t="inlineStr">
        <is>
          <t>Floor Check</t>
        </is>
      </c>
      <c r="J11" s="11" t="inlineStr">
        <is>
          <t>Asphalt Driveways</t>
        </is>
      </c>
      <c r="K11" s="11" t="inlineStr">
        <is>
          <t>Chimney Chase Covers</t>
        </is>
      </c>
      <c r="L11" s="11" t="inlineStr">
        <is>
          <t>Concrete Sidewalks</t>
        </is>
      </c>
      <c r="M11" s="11" t="inlineStr">
        <is>
          <t>Deck Replacement, Wood</t>
        </is>
      </c>
      <c r="N11" s="11" t="inlineStr">
        <is>
          <t>Siding, Vinyl</t>
        </is>
      </c>
    </row>
    <row r="12">
      <c r="A12" s="12" t="n">
        <v>2026</v>
      </c>
      <c r="B12" s="13">
        <f>$B$2</f>
        <v/>
      </c>
      <c r="C12" s="13">
        <f>$B$3</f>
        <v/>
      </c>
      <c r="D12" s="14" t="n">
        <v>0</v>
      </c>
      <c r="E12" s="13">
        <f>B12*$B$5</f>
        <v/>
      </c>
      <c r="F12" s="13">
        <f>B12+C12-D12+E12</f>
        <v/>
      </c>
      <c r="G12" s="15">
        <f>C12/$B$7/12</f>
        <v/>
      </c>
      <c r="H12" s="16">
        <f>IF(F12&lt;$B$8,"BELOW FLOOR","")</f>
        <v/>
      </c>
    </row>
    <row r="13">
      <c r="A13" s="12" t="n">
        <v>2027</v>
      </c>
      <c r="B13" s="13">
        <f>F12</f>
        <v/>
      </c>
      <c r="C13" s="13">
        <f>C12*(1+$B$4)</f>
        <v/>
      </c>
      <c r="D13" s="14" t="n">
        <v>0</v>
      </c>
      <c r="E13" s="13">
        <f>B13*$B$5</f>
        <v/>
      </c>
      <c r="F13" s="13">
        <f>B13+C13-D13+E13</f>
        <v/>
      </c>
      <c r="G13" s="15">
        <f>C13/$B$7/12</f>
        <v/>
      </c>
      <c r="H13" s="16">
        <f>IF(F13&lt;$B$8,"BELOW FLOOR","")</f>
        <v/>
      </c>
    </row>
    <row r="14">
      <c r="A14" s="12" t="n">
        <v>2028</v>
      </c>
      <c r="B14" s="13">
        <f>F13</f>
        <v/>
      </c>
      <c r="C14" s="13">
        <f>C13*(1+$B$4)</f>
        <v/>
      </c>
      <c r="D14" s="14" t="n">
        <v>0</v>
      </c>
      <c r="E14" s="13">
        <f>B14*$B$5</f>
        <v/>
      </c>
      <c r="F14" s="13">
        <f>B14+C14-D14+E14</f>
        <v/>
      </c>
      <c r="G14" s="15">
        <f>C14/$B$7/12</f>
        <v/>
      </c>
      <c r="H14" s="16">
        <f>IF(F14&lt;$B$8,"BELOW FLOOR","")</f>
        <v/>
      </c>
    </row>
    <row r="15">
      <c r="A15" s="12" t="n">
        <v>2029</v>
      </c>
      <c r="B15" s="13">
        <f>F14</f>
        <v/>
      </c>
      <c r="C15" s="13">
        <f>C14*(1+$B$4)</f>
        <v/>
      </c>
      <c r="D15" s="14" t="n">
        <v>0</v>
      </c>
      <c r="E15" s="13">
        <f>B15*$B$5</f>
        <v/>
      </c>
      <c r="F15" s="13">
        <f>B15+C15-D15+E15</f>
        <v/>
      </c>
      <c r="G15" s="15">
        <f>C15/$B$7/12</f>
        <v/>
      </c>
      <c r="H15" s="16">
        <f>IF(F15&lt;$B$8,"BELOW FLOOR","")</f>
        <v/>
      </c>
    </row>
    <row r="16">
      <c r="A16" s="12" t="n">
        <v>2030</v>
      </c>
      <c r="B16" s="13">
        <f>F15</f>
        <v/>
      </c>
      <c r="C16" s="13">
        <f>C15*(1+$B$4)</f>
        <v/>
      </c>
      <c r="D16" s="14" t="n">
        <v>0</v>
      </c>
      <c r="E16" s="13">
        <f>B16*$B$5</f>
        <v/>
      </c>
      <c r="F16" s="13">
        <f>B16+C16-D16+E16</f>
        <v/>
      </c>
      <c r="G16" s="15">
        <f>C16/$B$7/12</f>
        <v/>
      </c>
      <c r="H16" s="16">
        <f>IF(F16&lt;$B$8,"BELOW FLOOR","")</f>
        <v/>
      </c>
    </row>
    <row r="17">
      <c r="A17" s="12" t="n">
        <v>2031</v>
      </c>
      <c r="B17" s="13">
        <f>F16</f>
        <v/>
      </c>
      <c r="C17" s="13">
        <f>C16*(1+$B$4)</f>
        <v/>
      </c>
      <c r="D17" s="14" t="n">
        <v>145095</v>
      </c>
      <c r="E17" s="13">
        <f>B17*$B$5</f>
        <v/>
      </c>
      <c r="F17" s="13">
        <f>B17+C17-D17+E17</f>
        <v/>
      </c>
      <c r="G17" s="15">
        <f>C17/$B$7/12</f>
        <v/>
      </c>
      <c r="H17" s="16">
        <f>IF(F17&lt;$B$8,"BELOW FLOOR","")</f>
        <v/>
      </c>
      <c r="K17" s="13" t="n">
        <v>145095</v>
      </c>
    </row>
    <row r="18">
      <c r="A18" s="12" t="n">
        <v>2032</v>
      </c>
      <c r="B18" s="13">
        <f>F17</f>
        <v/>
      </c>
      <c r="C18" s="13">
        <f>C17*(1+$B$4)</f>
        <v/>
      </c>
      <c r="D18" s="14" t="n">
        <v>0</v>
      </c>
      <c r="E18" s="13">
        <f>B18*$B$5</f>
        <v/>
      </c>
      <c r="F18" s="13">
        <f>B18+C18-D18+E18</f>
        <v/>
      </c>
      <c r="G18" s="15">
        <f>C18/$B$7/12</f>
        <v/>
      </c>
      <c r="H18" s="16">
        <f>IF(F18&lt;$B$8,"BELOW FLOOR","")</f>
        <v/>
      </c>
    </row>
    <row r="19">
      <c r="A19" s="12" t="n">
        <v>2033</v>
      </c>
      <c r="B19" s="13">
        <f>F18</f>
        <v/>
      </c>
      <c r="C19" s="13">
        <f>C18*(1+$B$4)</f>
        <v/>
      </c>
      <c r="D19" s="14" t="n">
        <v>205342</v>
      </c>
      <c r="E19" s="13">
        <f>B19*$B$5</f>
        <v/>
      </c>
      <c r="F19" s="13">
        <f>B19+C19-D19+E19</f>
        <v/>
      </c>
      <c r="G19" s="15">
        <f>C19/$B$7/12</f>
        <v/>
      </c>
      <c r="H19" s="16">
        <f>IF(F19&lt;$B$8,"BELOW FLOOR","")</f>
        <v/>
      </c>
      <c r="L19" s="13" t="n">
        <v>6256</v>
      </c>
      <c r="M19" s="13" t="n">
        <v>199087</v>
      </c>
    </row>
    <row r="20">
      <c r="A20" s="12" t="n">
        <v>2034</v>
      </c>
      <c r="B20" s="13">
        <f>F19</f>
        <v/>
      </c>
      <c r="C20" s="13">
        <f>C19*(1+$B$4)</f>
        <v/>
      </c>
      <c r="D20" s="14" t="n">
        <v>0</v>
      </c>
      <c r="E20" s="13">
        <f>B20*$B$5</f>
        <v/>
      </c>
      <c r="F20" s="13">
        <f>B20+C20-D20+E20</f>
        <v/>
      </c>
      <c r="G20" s="15">
        <f>C20/$B$7/12</f>
        <v/>
      </c>
      <c r="H20" s="16">
        <f>IF(F20&lt;$B$8,"BELOW FLOOR","")</f>
        <v/>
      </c>
    </row>
    <row r="21">
      <c r="A21" s="12" t="n">
        <v>2035</v>
      </c>
      <c r="B21" s="13">
        <f>F20</f>
        <v/>
      </c>
      <c r="C21" s="13">
        <f>C20*(1+$B$4)</f>
        <v/>
      </c>
      <c r="D21" s="14" t="n">
        <v>0</v>
      </c>
      <c r="E21" s="13">
        <f>B21*$B$5</f>
        <v/>
      </c>
      <c r="F21" s="13">
        <f>B21+C21-D21+E21</f>
        <v/>
      </c>
      <c r="G21" s="15">
        <f>C21/$B$7/12</f>
        <v/>
      </c>
      <c r="H21" s="16">
        <f>IF(F21&lt;$B$8,"BELOW FLOOR","")</f>
        <v/>
      </c>
    </row>
    <row r="22">
      <c r="A22" s="12" t="n">
        <v>2036</v>
      </c>
      <c r="B22" s="13">
        <f>F21</f>
        <v/>
      </c>
      <c r="C22" s="13">
        <f>C21*(1+$B$4)</f>
        <v/>
      </c>
      <c r="D22" s="14" t="n">
        <v>342150</v>
      </c>
      <c r="E22" s="13">
        <f>B22*$B$5</f>
        <v/>
      </c>
      <c r="F22" s="13">
        <f>B22+C22-D22+E22</f>
        <v/>
      </c>
      <c r="G22" s="15">
        <f>C22/$B$7/12</f>
        <v/>
      </c>
      <c r="H22" s="16">
        <f>IF(F22&lt;$B$8,"BELOW FLOOR","")</f>
        <v/>
      </c>
      <c r="J22" s="13" t="n">
        <v>342150</v>
      </c>
    </row>
    <row r="23">
      <c r="A23" s="12" t="n">
        <v>2037</v>
      </c>
      <c r="B23" s="13">
        <f>F22</f>
        <v/>
      </c>
      <c r="C23" s="13">
        <f>C22*(1+$B$4)</f>
        <v/>
      </c>
      <c r="D23" s="14" t="n">
        <v>0</v>
      </c>
      <c r="E23" s="13">
        <f>B23*$B$5</f>
        <v/>
      </c>
      <c r="F23" s="13">
        <f>B23+C23-D23+E23</f>
        <v/>
      </c>
      <c r="G23" s="15">
        <f>C23/$B$7/12</f>
        <v/>
      </c>
      <c r="H23" s="16">
        <f>IF(F23&lt;$B$8,"BELOW FLOOR","")</f>
        <v/>
      </c>
    </row>
    <row r="24">
      <c r="A24" s="12" t="n">
        <v>2038</v>
      </c>
      <c r="B24" s="13">
        <f>F23</f>
        <v/>
      </c>
      <c r="C24" s="13">
        <f>C23*(1+$B$4)</f>
        <v/>
      </c>
      <c r="D24" s="14" t="n">
        <v>0</v>
      </c>
      <c r="E24" s="13">
        <f>B24*$B$5</f>
        <v/>
      </c>
      <c r="F24" s="13">
        <f>B24+C24-D24+E24</f>
        <v/>
      </c>
      <c r="G24" s="15">
        <f>C24/$B$7/12</f>
        <v/>
      </c>
      <c r="H24" s="16">
        <f>IF(F24&lt;$B$8,"BELOW FLOOR","")</f>
        <v/>
      </c>
    </row>
    <row r="25">
      <c r="A25" s="12" t="n">
        <v>2039</v>
      </c>
      <c r="B25" s="13">
        <f>F24</f>
        <v/>
      </c>
      <c r="C25" s="13">
        <f>C24*(1+$B$4)</f>
        <v/>
      </c>
      <c r="D25" s="14" t="n">
        <v>0</v>
      </c>
      <c r="E25" s="13">
        <f>B25*$B$5</f>
        <v/>
      </c>
      <c r="F25" s="13">
        <f>B25+C25-D25+E25</f>
        <v/>
      </c>
      <c r="G25" s="15">
        <f>C25/$B$7/12</f>
        <v/>
      </c>
      <c r="H25" s="16">
        <f>IF(F25&lt;$B$8,"BELOW FLOOR","")</f>
        <v/>
      </c>
    </row>
    <row r="26">
      <c r="A26" s="12" t="n">
        <v>2040</v>
      </c>
      <c r="B26" s="13">
        <f>F25</f>
        <v/>
      </c>
      <c r="C26" s="13">
        <f>C25*(1+$B$4)</f>
        <v/>
      </c>
      <c r="D26" s="14" t="n">
        <v>0</v>
      </c>
      <c r="E26" s="13">
        <f>B26*$B$5</f>
        <v/>
      </c>
      <c r="F26" s="13">
        <f>B26+C26-D26+E26</f>
        <v/>
      </c>
      <c r="G26" s="15">
        <f>C26/$B$7/12</f>
        <v/>
      </c>
      <c r="H26" s="16">
        <f>IF(F26&lt;$B$8,"BELOW FLOOR","")</f>
        <v/>
      </c>
    </row>
    <row r="27">
      <c r="A27" s="12" t="n">
        <v>2041</v>
      </c>
      <c r="B27" s="13">
        <f>F26</f>
        <v/>
      </c>
      <c r="C27" s="13">
        <f>C26*(1+$B$4)</f>
        <v/>
      </c>
      <c r="D27" s="14" t="n">
        <v>0</v>
      </c>
      <c r="E27" s="13">
        <f>B27*$B$5</f>
        <v/>
      </c>
      <c r="F27" s="13">
        <f>B27+C27-D27+E27</f>
        <v/>
      </c>
      <c r="G27" s="15">
        <f>C27/$B$7/12</f>
        <v/>
      </c>
      <c r="H27" s="16">
        <f>IF(F27&lt;$B$8,"BELOW FLOOR","")</f>
        <v/>
      </c>
    </row>
    <row r="28">
      <c r="A28" s="12" t="n">
        <v>2042</v>
      </c>
      <c r="B28" s="13">
        <f>F27</f>
        <v/>
      </c>
      <c r="C28" s="13">
        <f>C27*(1+$B$4)</f>
        <v/>
      </c>
      <c r="D28" s="14" t="n">
        <v>0</v>
      </c>
      <c r="E28" s="13">
        <f>B28*$B$5</f>
        <v/>
      </c>
      <c r="F28" s="13">
        <f>B28+C28-D28+E28</f>
        <v/>
      </c>
      <c r="G28" s="15">
        <f>C28/$B$7/12</f>
        <v/>
      </c>
      <c r="H28" s="16">
        <f>IF(F28&lt;$B$8,"BELOW FLOOR","")</f>
        <v/>
      </c>
    </row>
    <row r="29">
      <c r="A29" s="12" t="n">
        <v>2043</v>
      </c>
      <c r="B29" s="13">
        <f>F28</f>
        <v/>
      </c>
      <c r="C29" s="13">
        <f>C28*(1+$B$4)</f>
        <v/>
      </c>
      <c r="D29" s="14" t="n">
        <v>0</v>
      </c>
      <c r="E29" s="13">
        <f>B29*$B$5</f>
        <v/>
      </c>
      <c r="F29" s="13">
        <f>B29+C29-D29+E29</f>
        <v/>
      </c>
      <c r="G29" s="15">
        <f>C29/$B$7/12</f>
        <v/>
      </c>
      <c r="H29" s="16">
        <f>IF(F29&lt;$B$8,"BELOW FLOOR","")</f>
        <v/>
      </c>
    </row>
    <row r="30">
      <c r="A30" s="12" t="n">
        <v>2044</v>
      </c>
      <c r="B30" s="13">
        <f>F29</f>
        <v/>
      </c>
      <c r="C30" s="13">
        <f>C29*(1+$B$4)</f>
        <v/>
      </c>
      <c r="D30" s="14" t="n">
        <v>0</v>
      </c>
      <c r="E30" s="13">
        <f>B30*$B$5</f>
        <v/>
      </c>
      <c r="F30" s="13">
        <f>B30+C30-D30+E30</f>
        <v/>
      </c>
      <c r="G30" s="15">
        <f>C30/$B$7/12</f>
        <v/>
      </c>
      <c r="H30" s="16">
        <f>IF(F30&lt;$B$8,"BELOW FLOOR","")</f>
        <v/>
      </c>
    </row>
    <row r="31">
      <c r="A31" s="12" t="n">
        <v>2045</v>
      </c>
      <c r="B31" s="13">
        <f>F30</f>
        <v/>
      </c>
      <c r="C31" s="13">
        <f>C30*(1+$B$4)</f>
        <v/>
      </c>
      <c r="D31" s="14" t="n">
        <v>0</v>
      </c>
      <c r="E31" s="13">
        <f>B31*$B$5</f>
        <v/>
      </c>
      <c r="F31" s="13">
        <f>B31+C31-D31+E31</f>
        <v/>
      </c>
      <c r="G31" s="15">
        <f>C31/$B$7/12</f>
        <v/>
      </c>
      <c r="H31" s="16">
        <f>IF(F31&lt;$B$8,"BELOW FLOOR","")</f>
        <v/>
      </c>
    </row>
    <row r="32">
      <c r="A32" s="12" t="n">
        <v>2046</v>
      </c>
      <c r="B32" s="13">
        <f>F31</f>
        <v/>
      </c>
      <c r="C32" s="13">
        <f>C31*(1+$B$4)</f>
        <v/>
      </c>
      <c r="D32" s="14" t="n">
        <v>0</v>
      </c>
      <c r="E32" s="13">
        <f>B32*$B$5</f>
        <v/>
      </c>
      <c r="F32" s="13">
        <f>B32+C32-D32+E32</f>
        <v/>
      </c>
      <c r="G32" s="15">
        <f>C32/$B$7/12</f>
        <v/>
      </c>
      <c r="H32" s="16">
        <f>IF(F32&lt;$B$8,"BELOW FLOOR","")</f>
        <v/>
      </c>
    </row>
    <row r="33">
      <c r="A33" s="12" t="n">
        <v>2047</v>
      </c>
      <c r="B33" s="13">
        <f>F32</f>
        <v/>
      </c>
      <c r="C33" s="13">
        <f>C32*(1+$B$4)</f>
        <v/>
      </c>
      <c r="D33" s="14" t="n">
        <v>0</v>
      </c>
      <c r="E33" s="13">
        <f>B33*$B$5</f>
        <v/>
      </c>
      <c r="F33" s="13">
        <f>B33+C33-D33+E33</f>
        <v/>
      </c>
      <c r="G33" s="15">
        <f>C33/$B$7/12</f>
        <v/>
      </c>
      <c r="H33" s="16">
        <f>IF(F33&lt;$B$8,"BELOW FLOOR","")</f>
        <v/>
      </c>
    </row>
    <row r="34">
      <c r="A34" s="12" t="n">
        <v>2048</v>
      </c>
      <c r="B34" s="13">
        <f>F33</f>
        <v/>
      </c>
      <c r="C34" s="13">
        <f>C33*(1+$B$4)</f>
        <v/>
      </c>
      <c r="D34" s="14" t="n">
        <v>0</v>
      </c>
      <c r="E34" s="13">
        <f>B34*$B$5</f>
        <v/>
      </c>
      <c r="F34" s="13">
        <f>B34+C34-D34+E34</f>
        <v/>
      </c>
      <c r="G34" s="15">
        <f>C34/$B$7/12</f>
        <v/>
      </c>
      <c r="H34" s="16">
        <f>IF(F34&lt;$B$8,"BELOW FLOOR","")</f>
        <v/>
      </c>
    </row>
    <row r="35">
      <c r="A35" s="12" t="n">
        <v>2049</v>
      </c>
      <c r="B35" s="13">
        <f>F34</f>
        <v/>
      </c>
      <c r="C35" s="13">
        <f>C34*(1+$B$4)</f>
        <v/>
      </c>
      <c r="D35" s="14" t="n">
        <v>3260083</v>
      </c>
      <c r="E35" s="13">
        <f>B35*$B$5</f>
        <v/>
      </c>
      <c r="F35" s="13">
        <f>B35+C35-D35+E35</f>
        <v/>
      </c>
      <c r="G35" s="15">
        <f>C35/$B$7/12</f>
        <v/>
      </c>
      <c r="H35" s="16">
        <f>IF(F35&lt;$B$8,"BELOW FLOOR","")</f>
        <v/>
      </c>
      <c r="N35" s="13" t="n">
        <v>3260083</v>
      </c>
    </row>
    <row r="36">
      <c r="A36" s="12" t="n">
        <v>2050</v>
      </c>
      <c r="B36" s="13">
        <f>F35</f>
        <v/>
      </c>
      <c r="C36" s="13">
        <f>C35*(1+$B$4)</f>
        <v/>
      </c>
      <c r="D36" s="14" t="n">
        <v>0</v>
      </c>
      <c r="E36" s="13">
        <f>B36*$B$5</f>
        <v/>
      </c>
      <c r="F36" s="13">
        <f>B36+C36-D36+E36</f>
        <v/>
      </c>
      <c r="G36" s="15">
        <f>C36/$B$7/12</f>
        <v/>
      </c>
      <c r="H36" s="16">
        <f>IF(F36&lt;$B$8,"BELOW FLOOR","")</f>
        <v/>
      </c>
    </row>
    <row r="37">
      <c r="A37" s="17" t="inlineStr">
        <is>
          <t>TOTAL</t>
        </is>
      </c>
      <c r="C37" s="10">
        <f>SUM(C12:C36)</f>
        <v/>
      </c>
      <c r="D37" s="10">
        <f>SUM(D12:D36)</f>
        <v/>
      </c>
      <c r="E37" s="10">
        <f>SUM(E12:E36)</f>
        <v/>
      </c>
      <c r="J37" s="10">
        <f>SUM(J12:J36)</f>
        <v/>
      </c>
      <c r="K37" s="10">
        <f>SUM(K12:K36)</f>
        <v/>
      </c>
      <c r="L37" s="10">
        <f>SUM(L12:L36)</f>
        <v/>
      </c>
      <c r="M37" s="10">
        <f>SUM(M12:M36)</f>
        <v/>
      </c>
      <c r="N37" s="10">
        <f>SUM(N12:N36)</f>
        <v/>
      </c>
    </row>
  </sheetData>
  <mergeCells count="1">
    <mergeCell ref="A1:B1"/>
  </mergeCells>
  <conditionalFormatting sqref="F12:F36">
    <cfRule type="cellIs" priority="1" operator="lessThan" dxfId="0">
      <formula>$B$8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BF8F00"/>
    <outlinePr summaryBelow="1" summaryRight="1"/>
    <pageSetUpPr/>
  </sheetPr>
  <dimension ref="A1:F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5" customWidth="1" min="1" max="1"/>
    <col width="22" customWidth="1" min="2" max="2"/>
    <col width="14" customWidth="1" min="3" max="3"/>
    <col width="22" customWidth="1" min="4" max="4"/>
    <col width="18" customWidth="1" min="5" max="5"/>
    <col width="26" customWidth="1" min="6" max="6"/>
  </cols>
  <sheetData>
    <row r="1">
      <c r="A1" s="1" t="inlineStr">
        <is>
          <t>Scarborough Glen Condo Association IV — Component Detail</t>
        </is>
      </c>
    </row>
    <row r="2">
      <c r="A2" s="6" t="inlineStr">
        <is>
          <t>All costs from Becht Engineering Capital Reserve Study (2026)</t>
        </is>
      </c>
    </row>
    <row r="4">
      <c r="A4" s="11" t="inlineStr">
        <is>
          <t>Component</t>
        </is>
      </c>
      <c r="B4" s="11" t="inlineStr">
        <is>
          <t>Becht Community Total</t>
        </is>
      </c>
      <c r="C4" s="11" t="inlineStr">
        <is>
          <t>Entity Share %</t>
        </is>
      </c>
      <c r="D4" s="11" t="inlineStr">
        <is>
          <t>Entity Allocated Cost</t>
        </is>
      </c>
      <c r="E4" s="11" t="inlineStr">
        <is>
          <t>Replacement Year</t>
        </is>
      </c>
      <c r="F4" s="11" t="inlineStr">
        <is>
          <t>Inflated Cost at Replacement</t>
        </is>
      </c>
    </row>
    <row r="5">
      <c r="A5" s="12" t="inlineStr">
        <is>
          <t>Siding, Vinyl (Condo IV share)</t>
        </is>
      </c>
      <c r="B5" s="14" t="n">
        <v>1800000</v>
      </c>
      <c r="C5" s="18" t="n">
        <v>0.9177</v>
      </c>
      <c r="D5" s="14" t="n">
        <v>1651860</v>
      </c>
      <c r="E5" s="12" t="n">
        <v>2049</v>
      </c>
      <c r="F5" s="14" t="n">
        <v>3260083</v>
      </c>
    </row>
    <row r="6">
      <c r="A6" s="12" t="inlineStr">
        <is>
          <t>Roof, Shingles - Townhouses (Condo IV share)</t>
        </is>
      </c>
      <c r="B6" s="14" t="n">
        <v>1150988</v>
      </c>
      <c r="C6" s="18" t="n">
        <v>0.7645999999999999</v>
      </c>
      <c r="D6" s="14" t="n">
        <v>880045</v>
      </c>
      <c r="E6" s="12" t="n">
        <v>2050</v>
      </c>
      <c r="F6" s="12" t="inlineStr">
        <is>
          <t>Beyond plan horizon</t>
        </is>
      </c>
    </row>
    <row r="7">
      <c r="A7" s="12" t="inlineStr">
        <is>
          <t>Asphalt Driveways (Condo IV share)</t>
        </is>
      </c>
      <c r="B7" s="14" t="n">
        <v>308000</v>
      </c>
      <c r="C7" s="18" t="n">
        <v>0.8266</v>
      </c>
      <c r="D7" s="14" t="n">
        <v>254562</v>
      </c>
      <c r="E7" s="12" t="n">
        <v>2036</v>
      </c>
      <c r="F7" s="14" t="n">
        <v>342150</v>
      </c>
    </row>
    <row r="8">
      <c r="A8" s="12" t="inlineStr">
        <is>
          <t>Deck Replacement, Wood (Condo IV share)</t>
        </is>
      </c>
      <c r="B8" s="14" t="n">
        <v>440000</v>
      </c>
      <c r="C8" s="18" t="n">
        <v>0.3679</v>
      </c>
      <c r="D8" s="14" t="n">
        <v>161876</v>
      </c>
      <c r="E8" s="12" t="n">
        <v>2033</v>
      </c>
      <c r="F8" s="14" t="n">
        <v>199087</v>
      </c>
    </row>
    <row r="9">
      <c r="A9" s="12" t="inlineStr">
        <is>
          <t>Deck Replacement, Composite (Condo IV share)</t>
        </is>
      </c>
      <c r="B9" s="14" t="n">
        <v>360000</v>
      </c>
      <c r="C9" s="18" t="n">
        <v>0.3679</v>
      </c>
      <c r="D9" s="14" t="n">
        <v>132444</v>
      </c>
      <c r="E9" s="12" t="inlineStr">
        <is>
          <t>2053 (beyond plan)</t>
        </is>
      </c>
      <c r="F9" s="12" t="inlineStr">
        <is>
          <t>Beyond plan horizon</t>
        </is>
      </c>
    </row>
    <row r="10">
      <c r="A10" s="12" t="inlineStr">
        <is>
          <t>Chimney Chase Covers (Condo IV share)</t>
        </is>
      </c>
      <c r="B10" s="14" t="n">
        <v>178800</v>
      </c>
      <c r="C10" s="18" t="n">
        <v>0.7</v>
      </c>
      <c r="D10" s="14" t="n">
        <v>125160</v>
      </c>
      <c r="E10" s="12" t="n">
        <v>2031</v>
      </c>
      <c r="F10" s="14" t="n">
        <v>145095</v>
      </c>
    </row>
    <row r="11">
      <c r="A11" s="12" t="inlineStr">
        <is>
          <t>Concrete Sidewalks (Condo IV share)</t>
        </is>
      </c>
      <c r="B11" s="14" t="n">
        <v>35200</v>
      </c>
      <c r="C11" s="18" t="n">
        <v>0.1445</v>
      </c>
      <c r="D11" s="14" t="n">
        <v>5086</v>
      </c>
      <c r="E11" s="12" t="n">
        <v>2033</v>
      </c>
      <c r="F11" s="14" t="n">
        <v>6256</v>
      </c>
    </row>
    <row r="12">
      <c r="A12" s="17" t="inlineStr">
        <is>
          <t>TOTAL</t>
        </is>
      </c>
      <c r="D12" s="10" t="n">
        <v>3211033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cols>
    <col width="10" customWidth="1" min="1" max="1"/>
    <col width="35" customWidth="1" min="2" max="2"/>
    <col width="16" customWidth="1" min="3" max="3"/>
    <col width="8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2" t="inlineStr">
        <is>
          <t>COLOR KEY</t>
        </is>
      </c>
      <c r="E1" s="2" t="inlineStr">
        <is>
          <t>CHART DATA</t>
        </is>
      </c>
    </row>
    <row r="2">
      <c r="A2" s="3" t="inlineStr">
        <is>
          <t>Color</t>
        </is>
      </c>
      <c r="B2" s="3" t="inlineStr">
        <is>
          <t>Component</t>
        </is>
      </c>
      <c r="C2" s="3" t="inlineStr">
        <is>
          <t>25-Year Total</t>
        </is>
      </c>
      <c r="E2" s="3" t="inlineStr">
        <is>
          <t>Year</t>
        </is>
      </c>
      <c r="F2" s="3" t="inlineStr">
        <is>
          <t>Asphalt Driveways</t>
        </is>
      </c>
      <c r="G2" s="3" t="inlineStr">
        <is>
          <t>Chimney Chase Covers</t>
        </is>
      </c>
      <c r="H2" s="3" t="inlineStr">
        <is>
          <t>Concrete Sidewalks</t>
        </is>
      </c>
      <c r="I2" s="3" t="inlineStr">
        <is>
          <t>Deck Replacement, Wood</t>
        </is>
      </c>
      <c r="J2" s="3" t="inlineStr">
        <is>
          <t>Siding, Vinyl</t>
        </is>
      </c>
    </row>
    <row r="3">
      <c r="A3" s="19" t="n"/>
      <c r="B3" s="12" t="inlineStr">
        <is>
          <t>Asphalt Driveways</t>
        </is>
      </c>
      <c r="C3" s="14" t="n">
        <v>342150</v>
      </c>
      <c r="E3" t="n">
        <v>2031</v>
      </c>
      <c r="G3" s="20" t="n">
        <v>145095</v>
      </c>
    </row>
    <row r="4">
      <c r="A4" s="21" t="n"/>
      <c r="B4" s="12" t="inlineStr">
        <is>
          <t>Chimney Chase Covers</t>
        </is>
      </c>
      <c r="C4" s="14" t="n">
        <v>145095</v>
      </c>
      <c r="E4" t="n">
        <v>2033</v>
      </c>
      <c r="H4" s="20" t="n">
        <v>6256</v>
      </c>
      <c r="I4" s="20" t="n">
        <v>199087</v>
      </c>
    </row>
    <row r="5">
      <c r="A5" s="22" t="n"/>
      <c r="B5" s="12" t="inlineStr">
        <is>
          <t>Concrete Sidewalks</t>
        </is>
      </c>
      <c r="C5" s="14" t="n">
        <v>6256</v>
      </c>
      <c r="E5" t="n">
        <v>2036</v>
      </c>
      <c r="F5" s="20" t="n">
        <v>342150</v>
      </c>
    </row>
    <row r="6">
      <c r="A6" s="23" t="n"/>
      <c r="B6" s="12" t="inlineStr">
        <is>
          <t>Deck Replacement, Wood</t>
        </is>
      </c>
      <c r="C6" s="14" t="n">
        <v>199087</v>
      </c>
      <c r="E6" t="n">
        <v>2049</v>
      </c>
      <c r="J6" s="20" t="n">
        <v>3260083</v>
      </c>
    </row>
    <row r="7">
      <c r="A7" s="24" t="n"/>
      <c r="B7" s="12" t="inlineStr">
        <is>
          <t>Siding, Vinyl</t>
        </is>
      </c>
      <c r="C7" s="14" t="n">
        <v>3260083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2026-06-06T21:08:38Z</dcterms:created>
  <dcterms:modified xsi:type="dcterms:W3CDTF">2026-06-06T21:08:38Z</dcterms:modified>
</cp:coreProperties>
</file>