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Fund Summary" sheetId="2" state="visible" r:id="rId2"/>
    <sheet name="Emergency Reserve" sheetId="3" state="visible" r:id="rId3"/>
    <sheet name="Long-Term Maintenance" sheetId="4" state="visible" r:id="rId4"/>
    <sheet name="Operating Reserve" sheetId="5" state="visible" r:id="rId5"/>
    <sheet name="Components" sheetId="6" state="visible" r:id="rId6"/>
    <sheet name="Expenditure Cha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2F5496"/>
      <sz val="12"/>
    </font>
    <font>
      <name val="Calibri"/>
      <sz val="11"/>
    </font>
    <font>
      <name val="Calibri"/>
      <b val="1"/>
      <sz val="11"/>
    </font>
    <font>
      <name val="Calibri"/>
      <i val="1"/>
      <color rgb="00666666"/>
      <sz val="10"/>
    </font>
    <font>
      <name val="Calibr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A5A5A5"/>
        <bgColor rgb="00A5A5A5"/>
      </patternFill>
    </fill>
    <fill>
      <patternFill patternType="solid">
        <fgColor rgb="00FFC000"/>
        <bgColor rgb="00FFC000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264478"/>
        <bgColor rgb="00264478"/>
      </patternFill>
    </fill>
    <fill>
      <patternFill patternType="solid">
        <fgColor rgb="009B57A0"/>
        <bgColor rgb="009B57A0"/>
      </patternFill>
    </fill>
    <fill>
      <patternFill patternType="solid">
        <fgColor rgb="00636363"/>
        <bgColor rgb="0063636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3" fillId="0" borderId="0" pivotButton="0" quotePrefix="0" xfId="0"/>
    <xf numFmtId="0" fontId="5" fillId="0" borderId="0" pivotButton="0" quotePrefix="0" xfId="0"/>
    <xf numFmtId="3" fontId="4" fillId="0" borderId="0" pivotButton="0" quotePrefix="0" xfId="0"/>
    <xf numFmtId="3" fontId="4" fillId="0" borderId="1" pivotButton="0" quotePrefix="0" xfId="0"/>
    <xf numFmtId="3" fontId="4" fillId="2" borderId="1" pivotButton="0" quotePrefix="0" xfId="0"/>
    <xf numFmtId="10" fontId="4" fillId="2" borderId="1" pivotButton="0" quotePrefix="0" xfId="0"/>
    <xf numFmtId="0" fontId="6" fillId="3" borderId="1" applyAlignment="1" pivotButton="0" quotePrefix="0" xfId="0">
      <alignment horizontal="center" wrapText="1"/>
    </xf>
    <xf numFmtId="0" fontId="3" fillId="0" borderId="1" pivotButton="0" quotePrefix="0" xfId="0"/>
    <xf numFmtId="0" fontId="5" fillId="0" borderId="1" pivotButton="0" quotePrefix="0" xfId="0"/>
    <xf numFmtId="0" fontId="4" fillId="0" borderId="1" pivotButton="0" quotePrefix="0" xfId="0"/>
    <xf numFmtId="3" fontId="0" fillId="0" borderId="1" pivotButton="0" quotePrefix="0" xfId="0"/>
    <xf numFmtId="10" fontId="4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4" fillId="0" borderId="1" pivotButton="0" quotePrefix="0" xfId="0"/>
    <xf numFmtId="1" fontId="4" fillId="2" borderId="1" pivotButton="0" quotePrefix="0" xfId="0"/>
    <xf numFmtId="165" fontId="0" fillId="0" borderId="1" pivotButton="0" quotePrefix="0" xfId="0"/>
    <xf numFmtId="165" fontId="4" fillId="0" borderId="1" pivotButton="0" quotePrefix="0" xfId="0"/>
    <xf numFmtId="3" fontId="5" fillId="0" borderId="0" pivotButton="0" quotePrefix="0" xfId="0"/>
    <xf numFmtId="164" fontId="0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0" fontId="0" fillId="4" borderId="1" pivotButton="0" quotePrefix="0" xfId="0"/>
    <xf numFmtId="3" fontId="0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dxfs count="3">
    <dxf>
      <font>
        <name val="Calibri"/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ont>
        <name val="Calibri"/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Scarborough Glen Condo Association IV — Projected Expenditures by Year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'Expenditure Chart'!F2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'Expenditure Chart'!$E$3:$E$12</f>
            </numRef>
          </cat>
          <val>
            <numRef>
              <f>'Expenditure Chart'!$F$3:$F$12</f>
            </numRef>
          </val>
        </ser>
        <ser>
          <idx val="1"/>
          <order val="1"/>
          <tx>
            <strRef>
              <f>'Expenditure Chart'!G2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'Expenditure Chart'!$E$3:$E$12</f>
            </numRef>
          </cat>
          <val>
            <numRef>
              <f>'Expenditure Chart'!$G$3:$G$12</f>
            </numRef>
          </val>
        </ser>
        <ser>
          <idx val="2"/>
          <order val="2"/>
          <tx>
            <strRef>
              <f>'Expenditure Chart'!H2</f>
            </strRef>
          </tx>
          <spPr>
            <a:solidFill>
              <a:srgbClr val="A5A5A5"/>
            </a:solidFill>
            <a:ln>
              <a:prstDash val="solid"/>
            </a:ln>
          </spPr>
          <cat>
            <numRef>
              <f>'Expenditure Chart'!$E$3:$E$12</f>
            </numRef>
          </cat>
          <val>
            <numRef>
              <f>'Expenditure Chart'!$H$3:$H$12</f>
            </numRef>
          </val>
        </ser>
        <ser>
          <idx val="3"/>
          <order val="3"/>
          <tx>
            <strRef>
              <f>'Expenditure Chart'!I2</f>
            </strRef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'Expenditure Chart'!$E$3:$E$12</f>
            </numRef>
          </cat>
          <val>
            <numRef>
              <f>'Expenditure Chart'!$I$3:$I$12</f>
            </numRef>
          </val>
        </ser>
        <ser>
          <idx val="4"/>
          <order val="4"/>
          <tx>
            <strRef>
              <f>'Expenditure Chart'!J2</f>
            </strRef>
          </tx>
          <spPr>
            <a:solidFill>
              <a:srgbClr val="5B9BD5"/>
            </a:solidFill>
            <a:ln>
              <a:prstDash val="solid"/>
            </a:ln>
          </spPr>
          <cat>
            <numRef>
              <f>'Expenditure Chart'!$E$3:$E$12</f>
            </numRef>
          </cat>
          <val>
            <numRef>
              <f>'Expenditure Chart'!$J$3:$J$12</f>
            </numRef>
          </val>
        </ser>
        <ser>
          <idx val="5"/>
          <order val="5"/>
          <tx>
            <strRef>
              <f>'Expenditure Chart'!K2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'Expenditure Chart'!$E$3:$E$12</f>
            </numRef>
          </cat>
          <val>
            <numRef>
              <f>'Expenditure Chart'!$K$3:$K$12</f>
            </numRef>
          </val>
        </ser>
        <ser>
          <idx val="6"/>
          <order val="6"/>
          <tx>
            <strRef>
              <f>'Expenditure Chart'!L2</f>
            </strRef>
          </tx>
          <spPr>
            <a:solidFill>
              <a:srgbClr val="264478"/>
            </a:solidFill>
            <a:ln>
              <a:prstDash val="solid"/>
            </a:ln>
          </spPr>
          <cat>
            <numRef>
              <f>'Expenditure Chart'!$E$3:$E$12</f>
            </numRef>
          </cat>
          <val>
            <numRef>
              <f>'Expenditure Chart'!$L$3:$L$12</f>
            </numRef>
          </val>
        </ser>
        <ser>
          <idx val="7"/>
          <order val="7"/>
          <tx>
            <strRef>
              <f>'Expenditure Chart'!M2</f>
            </strRef>
          </tx>
          <spPr>
            <a:solidFill>
              <a:srgbClr val="9B57A0"/>
            </a:solidFill>
            <a:ln>
              <a:prstDash val="solid"/>
            </a:ln>
          </spPr>
          <cat>
            <numRef>
              <f>'Expenditure Chart'!$E$3:$E$12</f>
            </numRef>
          </cat>
          <val>
            <numRef>
              <f>'Expenditure Chart'!$M$3:$M$12</f>
            </numRef>
          </val>
        </ser>
        <ser>
          <idx val="8"/>
          <order val="8"/>
          <tx>
            <strRef>
              <f>'Expenditure Chart'!N2</f>
            </strRef>
          </tx>
          <spPr>
            <a:solidFill>
              <a:srgbClr val="636363"/>
            </a:solidFill>
            <a:ln>
              <a:prstDash val="solid"/>
            </a:ln>
          </spPr>
          <cat>
            <numRef>
              <f>'Expenditure Chart'!$E$3:$E$12</f>
            </numRef>
          </cat>
          <val>
            <numRef>
              <f>'Expenditure Chart'!$N$3:$N$12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296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B1:E82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20" customWidth="1" min="3" max="3"/>
    <col width="20" customWidth="1" min="4" max="4"/>
    <col width="20" customWidth="1" min="5" max="5"/>
  </cols>
  <sheetData>
    <row r="1">
      <c r="B1" s="1" t="inlineStr">
        <is>
          <t>Scarborough Glen Condo Association IV</t>
        </is>
      </c>
    </row>
    <row r="2">
      <c r="B2" s="2" t="inlineStr">
        <is>
          <t>Capital Reserve Funding Plan</t>
        </is>
      </c>
    </row>
    <row r="4">
      <c r="B4" s="2" t="inlineStr">
        <is>
          <t>How to read this workbook</t>
        </is>
      </c>
    </row>
    <row r="5">
      <c r="B5" s="3" t="inlineStr">
        <is>
          <t>START on the 'Fund Summary' tab — it shows the three funds, their targets/floors, the</t>
        </is>
      </c>
    </row>
    <row r="6">
      <c r="B6" s="3" t="inlineStr">
        <is>
          <t>per-unit monthly funding, and the 'Reserve Funding Status' all on one page.</t>
        </is>
      </c>
    </row>
    <row r="7">
      <c r="B7" s="3" t="inlineStr">
        <is>
          <t>The three fund tabs — Emergency Reserve, Long-Term Maintenance, Operating Reserve — each</t>
        </is>
      </c>
    </row>
    <row r="8">
      <c r="B8" s="3" t="inlineStr">
        <is>
          <t>show that fund's year-by-year balance from 2027 to 2050.</t>
        </is>
      </c>
    </row>
    <row r="9">
      <c r="B9" s="3" t="inlineStr">
        <is>
          <t>'Components' lists every capital item and its cost; 'Expenditure Chart' plots spending by year.</t>
        </is>
      </c>
    </row>
    <row r="10">
      <c r="B10" s="3" t="inlineStr">
        <is>
          <t>Yellow cells are inputs you can edit; every other cell is calculated automatically.</t>
        </is>
      </c>
    </row>
    <row r="12">
      <c r="B12" s="4" t="inlineStr">
        <is>
          <t>Data Sources:</t>
        </is>
      </c>
    </row>
    <row r="13">
      <c r="B13" s="3" t="inlineStr">
        <is>
          <t>Based on Becht Engineering Capital Reserve Study (Project 25-1140, February 2026)</t>
        </is>
      </c>
    </row>
    <row r="14">
      <c r="B14" s="3" t="inlineStr">
        <is>
          <t>Entity allocations derived from Falcon Group Report (2022) per-entity quantity ratios</t>
        </is>
      </c>
    </row>
    <row r="16">
      <c r="B16" s="2" t="inlineStr">
        <is>
          <t>Overview</t>
        </is>
      </c>
    </row>
    <row r="17">
      <c r="B17" s="3" t="inlineStr">
        <is>
          <t>Number of units: 98</t>
        </is>
      </c>
    </row>
    <row r="18">
      <c r="B18" s="3" t="inlineStr">
        <is>
          <t>Total replacement cost (current dollars): $3,594,809</t>
        </is>
      </c>
    </row>
    <row r="19">
      <c r="B19" s="3" t="inlineStr">
        <is>
          <t>Total reserve cash to allocate (projected reserve cash at 12/31/2026 (from the 2027 budget)): $176,604</t>
        </is>
      </c>
    </row>
    <row r="20">
      <c r="B20" s="3" t="inlineStr">
        <is>
          <t>Fund contributions are solved automatically (see Fund Summary) and are fully editable.</t>
        </is>
      </c>
    </row>
    <row r="21">
      <c r="B21" s="3" t="inlineStr">
        <is>
          <t>Planning horizon: 2027-2050 (24 years)</t>
        </is>
      </c>
    </row>
    <row r="23">
      <c r="B23" s="2" t="inlineStr">
        <is>
          <t>Funding Model Assumptions</t>
        </is>
      </c>
    </row>
    <row r="24">
      <c r="B24" s="3" t="inlineStr">
        <is>
          <t>Annual contributions grow at a configurable rate (default 3%) to keep pace with inflation.</t>
        </is>
      </c>
    </row>
    <row r="25">
      <c r="B25" s="3" t="inlineStr">
        <is>
          <t>Reserve funds earn interest at a configurable rate (default 1%) annually.</t>
        </is>
      </c>
    </row>
    <row r="26">
      <c r="B26" s="3" t="inlineStr">
        <is>
          <t>Disbursements (expenditures) occur in the year projected by the Becht engineering study.</t>
        </is>
      </c>
    </row>
    <row r="27">
      <c r="B27" s="3" t="inlineStr">
        <is>
          <t>All disbursement amounts include 3% annual inflation applied to current replacement costs.</t>
        </is>
      </c>
    </row>
    <row r="29">
      <c r="B29" s="2" t="inlineStr">
        <is>
          <t>Three-Fund Model</t>
        </is>
      </c>
    </row>
    <row r="30">
      <c r="B30" s="3" t="inlineStr">
        <is>
          <t>This plan splits reserves into THREE decoupled funds, each with its own balance,</t>
        </is>
      </c>
    </row>
    <row r="31">
      <c r="B31" s="3" t="inlineStr">
        <is>
          <t>annual contribution, floor, and monthly cost per unit. Each has its own tab.</t>
        </is>
      </c>
    </row>
    <row r="32">
      <c r="B32" s="3" t="inlineStr"/>
    </row>
    <row r="33">
      <c r="B33" s="3" t="inlineStr">
        <is>
          <t>1. Emergency Reserve — self-funded buffer for uninsured structural &amp; shortfall exposure — deductible on HOA.</t>
        </is>
      </c>
    </row>
    <row r="34">
      <c r="B34" s="3" t="inlineStr">
        <is>
          <t xml:space="preserve">   Floor = a target you set (Fund Summary, yellow cell). Not drawn for routine work.</t>
        </is>
      </c>
    </row>
    <row r="35">
      <c r="B35" s="3" t="inlineStr">
        <is>
          <t>2. Long-Term Maintenance — the Becht/Falcon capital replacement schedule.</t>
        </is>
      </c>
    </row>
    <row r="36">
      <c r="B36" s="3" t="inlineStr">
        <is>
          <t xml:space="preserve">   Floor = must NEVER drop below $0 in any year.</t>
        </is>
      </c>
    </row>
    <row r="37">
      <c r="B37" s="3" t="inlineStr">
        <is>
          <t>3. Operating Reserve — decoupled buffer of operating expenses.</t>
        </is>
      </c>
    </row>
    <row r="38">
      <c r="B38" s="3" t="inlineStr">
        <is>
          <t xml:space="preserve">   Floor = multiplier (1-3 months) x monthly operating expense, both set on Fund Summary.</t>
        </is>
      </c>
    </row>
    <row r="39">
      <c r="B39" s="3" t="inlineStr"/>
    </row>
    <row r="40">
      <c r="B40" s="3" t="inlineStr">
        <is>
          <t>Fund Summary sheet: set all inputs here (each fund's starting balance, target/floor and</t>
        </is>
      </c>
    </row>
    <row r="41">
      <c r="B41" s="3" t="inlineStr">
        <is>
          <t>contribution; unit count; growth; interest). Allocate current cash across the three funds'</t>
        </is>
      </c>
    </row>
    <row r="42">
      <c r="B42" s="3" t="inlineStr">
        <is>
          <t>starting balances (Allocated Start column). Recommended: fund near-term Long-Term Maintenance</t>
        </is>
      </c>
    </row>
    <row r="43">
      <c r="B43" s="3" t="inlineStr">
        <is>
          <t>needs and Operating liquidity first, and build the Emergency Reserve from contributions.</t>
        </is>
      </c>
    </row>
    <row r="44">
      <c r="B44" s="3" t="inlineStr"/>
    </row>
    <row r="45">
      <c r="B45" s="3" t="inlineStr">
        <is>
          <t>Percent Funded (Long-Term Maintenance) = reserve on hand / Fully Funded Balance. It is</t>
        </is>
      </c>
    </row>
    <row r="46">
      <c r="B46" s="3" t="inlineStr">
        <is>
          <t>the industry (CAI) metric: under 30% = weak (high special-assessment risk), 30-70% = fair,</t>
        </is>
      </c>
    </row>
    <row r="47">
      <c r="B47" s="3" t="inlineStr">
        <is>
          <t>70%+ = strong.</t>
        </is>
      </c>
    </row>
    <row r="48">
      <c r="B48" s="3" t="inlineStr"/>
    </row>
    <row r="49">
      <c r="B49" s="3" t="inlineStr">
        <is>
          <t>Reserve Funding Status — common charges should NOT be reduced until all three are Funded:</t>
        </is>
      </c>
    </row>
    <row r="50">
      <c r="B50" s="3" t="inlineStr">
        <is>
          <t xml:space="preserve">  1 — Emergency Reserve is funded to its target.</t>
        </is>
      </c>
    </row>
    <row r="51">
      <c r="B51" s="3" t="inlineStr">
        <is>
          <t xml:space="preserve">  2 — Long-Term Maintenance stays at/above $0 every year at the proposed contribution.</t>
        </is>
      </c>
    </row>
    <row r="52">
      <c r="B52" s="3" t="inlineStr">
        <is>
          <t xml:space="preserve">  3 — Operating Reserve stays at/above its floor (multiplier x monthly operating expense).</t>
        </is>
      </c>
    </row>
    <row r="53">
      <c r="B53" s="3" t="inlineStr">
        <is>
          <t>The 'Reduction in common charges' cell says a reduction can be considered only when all three</t>
        </is>
      </c>
    </row>
    <row r="54">
      <c r="B54" s="3" t="inlineStr">
        <is>
          <t>are Funded. To model a reduction, lower a fund's Year-1 Contribution on the Fund Summary sheet.</t>
        </is>
      </c>
    </row>
    <row r="55">
      <c r="B55" s="3" t="inlineStr">
        <is>
          <t>Replace every yellow placeholder (targets, floors, total cash) with the entity's ACTUALS.</t>
        </is>
      </c>
    </row>
    <row r="57">
      <c r="B57" s="2" t="inlineStr">
        <is>
          <t>Components Covered by This Plan</t>
        </is>
      </c>
    </row>
    <row r="58">
      <c r="B58" s="3" t="inlineStr">
        <is>
          <t>See the 'Components' sheet for full detail. Summary:</t>
        </is>
      </c>
    </row>
    <row r="60">
      <c r="B60" s="4" t="inlineStr">
        <is>
          <t>Component</t>
        </is>
      </c>
      <c r="C60" s="4" t="inlineStr">
        <is>
          <t>Allocated Cost</t>
        </is>
      </c>
      <c r="D60" s="4" t="inlineStr">
        <is>
          <t>Replacement Year</t>
        </is>
      </c>
    </row>
    <row r="61">
      <c r="B61" s="3" t="inlineStr">
        <is>
          <t>Siding, Vinyl (Condo IV share)</t>
        </is>
      </c>
      <c r="C61" s="5" t="n">
        <v>1651860</v>
      </c>
      <c r="D61" s="3" t="n">
        <v>2049</v>
      </c>
    </row>
    <row r="62">
      <c r="B62" s="3" t="inlineStr">
        <is>
          <t>Roof, Shingles - Townhouses (Condo IV share)</t>
        </is>
      </c>
      <c r="C62" s="5" t="n">
        <v>880045</v>
      </c>
      <c r="D62" s="3" t="n">
        <v>2050</v>
      </c>
    </row>
    <row r="63">
      <c r="B63" s="3" t="inlineStr">
        <is>
          <t>Deck Framing &amp; Footings, Wood (Condo IV share)</t>
        </is>
      </c>
      <c r="C63" s="5" t="n">
        <v>149760</v>
      </c>
      <c r="D63" s="3" t="n">
        <v>2033</v>
      </c>
    </row>
    <row r="64">
      <c r="B64" s="3" t="inlineStr">
        <is>
          <t>Deck Boards (surface), Wood (Condo IV share)</t>
        </is>
      </c>
      <c r="C64" s="5" t="n">
        <v>131040</v>
      </c>
      <c r="D64" s="3" t="n">
        <v>2033</v>
      </c>
    </row>
    <row r="65">
      <c r="B65" s="3" t="inlineStr">
        <is>
          <t>Deck Railings &amp; Balusters, Wood (Condo IV share) (safety)</t>
        </is>
      </c>
      <c r="C65" s="5" t="n">
        <v>93600</v>
      </c>
      <c r="D65" s="3" t="n">
        <v>2033</v>
      </c>
    </row>
    <row r="66">
      <c r="B66" s="3" t="inlineStr">
        <is>
          <t>Deck Railings — 2027 remaining replacements (5 rails)</t>
        </is>
      </c>
      <c r="C66" s="5" t="n">
        <v>22500</v>
      </c>
      <c r="D66" s="3" t="n">
        <v>2027</v>
      </c>
    </row>
    <row r="67">
      <c r="B67" s="3" t="inlineStr">
        <is>
          <t>Deck Replacement, Composite (Condo IV share)</t>
        </is>
      </c>
      <c r="C67" s="5" t="n">
        <v>132444</v>
      </c>
      <c r="D67" s="3" t="n">
        <v>2053</v>
      </c>
    </row>
    <row r="68">
      <c r="B68" s="3" t="inlineStr">
        <is>
          <t>Chimney Chase Covers (Condo IV share)</t>
        </is>
      </c>
      <c r="C68" s="5" t="n">
        <v>125160</v>
      </c>
      <c r="D68" s="3" t="n">
        <v>2031</v>
      </c>
    </row>
    <row r="69">
      <c r="B69" s="3" t="inlineStr">
        <is>
          <t>Entry Stoops — Concrete Replacement</t>
        </is>
      </c>
      <c r="C69" s="5" t="n">
        <v>196000</v>
      </c>
      <c r="D69" s="3" t="n">
        <v>2032</v>
      </c>
    </row>
    <row r="70">
      <c r="B70" s="3" t="inlineStr">
        <is>
          <t>Entry Stoops — Leveling &amp; Stair Nosing (safety)</t>
        </is>
      </c>
      <c r="C70" s="5" t="n">
        <v>29400</v>
      </c>
      <c r="D70" s="3" t="n">
        <v>2028</v>
      </c>
    </row>
    <row r="71">
      <c r="B71" s="3" t="inlineStr">
        <is>
          <t>Exterior Caulk/Sealant &amp; Trim Maintenance</t>
        </is>
      </c>
      <c r="C71" s="5" t="n">
        <v>15000</v>
      </c>
      <c r="D71" s="3" t="n">
        <v>2027</v>
      </c>
    </row>
    <row r="72">
      <c r="B72" s="3" t="inlineStr">
        <is>
          <t>Window Wells — rebuild program, 2027 (6 wells)</t>
        </is>
      </c>
      <c r="C72" s="5" t="n">
        <v>48000</v>
      </c>
      <c r="D72" s="3" t="n">
        <v>2027</v>
      </c>
    </row>
    <row r="73">
      <c r="B73" s="3" t="inlineStr">
        <is>
          <t>Window Wells — rebuild program, 2028 (15 wells)</t>
        </is>
      </c>
      <c r="C73" s="5" t="n">
        <v>120000</v>
      </c>
      <c r="D73" s="3" t="n">
        <v>2028</v>
      </c>
    </row>
    <row r="75">
      <c r="B75" s="2" t="inlineStr">
        <is>
          <t>Items NOT Included (Budget Separately)</t>
        </is>
      </c>
    </row>
    <row r="76">
      <c r="B76" s="3" t="inlineStr">
        <is>
          <t>The following items from the Falcon 2022 report are NOT in the Becht 2026 study and are therefore NOT included in this funding schedule. Consider budgeting for these items separately.</t>
        </is>
      </c>
    </row>
    <row r="78">
      <c r="B78" s="4" t="inlineStr">
        <is>
          <t>Item</t>
        </is>
      </c>
      <c r="C78" s="4" t="inlineStr">
        <is>
          <t>Falcon Est. Cost</t>
        </is>
      </c>
      <c r="D78" s="4" t="inlineStr">
        <is>
          <t>Notes</t>
        </is>
      </c>
    </row>
    <row r="79">
      <c r="B79" s="3" t="inlineStr">
        <is>
          <t>Retaining Wall, Wood Tie Wells</t>
        </is>
      </c>
      <c r="C79" s="5" t="n">
        <v>15000</v>
      </c>
      <c r="D79" s="6" t="inlineStr">
        <is>
          <t>Structural/safety; Falcon estimated $15,000</t>
        </is>
      </c>
    </row>
    <row r="80">
      <c r="B80" s="4" t="inlineStr">
        <is>
          <t>TOTAL OMITTED</t>
        </is>
      </c>
      <c r="C80" s="7" t="n">
        <v>15000</v>
      </c>
    </row>
    <row r="82">
      <c r="B82" s="6" t="inlineStr">
        <is>
          <t>Prepared October 2026 (re-based to 2027 to match the 2027 budget). Review and update annually.</t>
        </is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20" customWidth="1" min="3" max="3"/>
    <col width="18" customWidth="1" min="4" max="4"/>
    <col width="34" customWidth="1" min="5" max="5"/>
  </cols>
  <sheetData>
    <row r="1">
      <c r="A1" s="1" t="inlineStr">
        <is>
          <t>Scarborough Glen Condo Association IV — Fund Summary &amp; Reduction Readiness</t>
        </is>
      </c>
    </row>
    <row r="2">
      <c r="A2" s="6" t="inlineStr">
        <is>
          <t>Three decoupled funds. Yellow cells are inputs — replace placeholders with actual figures.</t>
        </is>
      </c>
    </row>
    <row r="4">
      <c r="A4" s="2" t="inlineStr">
        <is>
          <t>SHARED INPUTS</t>
        </is>
      </c>
    </row>
    <row r="5">
      <c r="A5" s="4" t="inlineStr">
        <is>
          <t>Total Reserve Cash (all accounts):</t>
        </is>
      </c>
      <c r="B5" s="8">
        <f>SUM(D12:D14)</f>
        <v/>
      </c>
      <c r="C5" s="6" t="inlineStr">
        <is>
          <t>Auto-total of the three fund starting balances (Allocated Start column).</t>
        </is>
      </c>
    </row>
    <row r="6">
      <c r="A6" s="4" t="inlineStr">
        <is>
          <t>Number of Units:</t>
        </is>
      </c>
      <c r="B6" s="9" t="n">
        <v>98</v>
      </c>
    </row>
    <row r="7">
      <c r="A7" s="4" t="inlineStr">
        <is>
          <t>Contribution Growth Rate:</t>
        </is>
      </c>
      <c r="B7" s="10" t="n">
        <v>0.03</v>
      </c>
    </row>
    <row r="8">
      <c r="A8" s="4" t="inlineStr">
        <is>
          <t>Interest Rate on Reserves:</t>
        </is>
      </c>
      <c r="B8" s="10" t="n">
        <v>0.01</v>
      </c>
    </row>
    <row r="10">
      <c r="A10" s="2" t="inlineStr">
        <is>
          <t>THE THREE FUNDS</t>
        </is>
      </c>
    </row>
    <row r="11">
      <c r="A11" s="11" t="inlineStr">
        <is>
          <t>Fund</t>
        </is>
      </c>
      <c r="B11" s="11" t="inlineStr">
        <is>
          <t>Target / Floor</t>
        </is>
      </c>
      <c r="C11" s="11" t="inlineStr">
        <is>
          <t>Year-1 Contribution</t>
        </is>
      </c>
      <c r="D11" s="11" t="inlineStr">
        <is>
          <t>Allocated Start</t>
        </is>
      </c>
      <c r="E11" s="11" t="inlineStr">
        <is>
          <t>Floor Rule</t>
        </is>
      </c>
    </row>
    <row r="12">
      <c r="A12" s="12" t="inlineStr">
        <is>
          <t>1. Emergency Reserve</t>
        </is>
      </c>
      <c r="B12" s="9" t="n">
        <v>125000</v>
      </c>
      <c r="C12" s="9" t="n">
        <v>23800</v>
      </c>
      <c r="D12" s="9" t="n">
        <v>23100</v>
      </c>
      <c r="E12" s="13" t="inlineStr">
        <is>
          <t>Reach &amp; hold target (uninsured structural &amp; shortfall exposure — deductible on HOA)</t>
        </is>
      </c>
    </row>
    <row r="13">
      <c r="A13" s="12" t="inlineStr">
        <is>
          <t>2. Long-Term Maintenance</t>
        </is>
      </c>
      <c r="B13" s="8" t="n">
        <v>0</v>
      </c>
      <c r="C13" s="9" t="n">
        <v>135100</v>
      </c>
      <c r="D13" s="9" t="n">
        <v>91605</v>
      </c>
      <c r="E13" s="13" t="inlineStr">
        <is>
          <t>Never below $0 (Becht capital schedule)</t>
        </is>
      </c>
    </row>
    <row r="14">
      <c r="A14" s="12" t="inlineStr">
        <is>
          <t>3. Operating Reserve</t>
        </is>
      </c>
      <c r="B14" s="8">
        <f>B38*B37</f>
        <v/>
      </c>
      <c r="C14" s="9" t="n">
        <v>12600</v>
      </c>
      <c r="D14" s="9" t="n">
        <v>61899</v>
      </c>
      <c r="E14" s="13" t="inlineStr">
        <is>
          <t>≥ multiplier x monthly op. expense (set below)</t>
        </is>
      </c>
    </row>
    <row r="15">
      <c r="A15" s="14" t="inlineStr">
        <is>
          <t>TOTAL</t>
        </is>
      </c>
      <c r="C15" s="8">
        <f>SUM(C12:C14)</f>
        <v/>
      </c>
      <c r="D15" s="8">
        <f>SUM(D12:D14)</f>
        <v/>
      </c>
    </row>
    <row r="16">
      <c r="A16" s="6" t="inlineStr">
        <is>
          <t>Allocated Start = each fund's current balance (yellow, editable); Total Reserve Cash (B5) is their sum. Recommended: fund near-term Long-Term Maintenance and Operating liquidity first, and build the Emergency Reserve from contributions over time.</t>
        </is>
      </c>
    </row>
    <row r="18">
      <c r="A18" s="2" t="inlineStr">
        <is>
          <t>LONG-TERM MAINTENANCE — FUNDING HEALTH</t>
        </is>
      </c>
    </row>
    <row r="19">
      <c r="A19" s="4" t="inlineStr">
        <is>
          <t>Fully Funded Balance (FFB — what LTM should hold today):</t>
        </is>
      </c>
      <c r="B19" s="8" t="n">
        <v>1484351</v>
      </c>
    </row>
    <row r="20">
      <c r="A20" s="4" t="inlineStr">
        <is>
          <t>LTM Reserve (allocated start):</t>
        </is>
      </c>
      <c r="B20" s="15">
        <f>D13</f>
        <v/>
      </c>
    </row>
    <row r="21">
      <c r="A21" s="4" t="inlineStr">
        <is>
          <t>Percent Funded:</t>
        </is>
      </c>
      <c r="B21" s="16">
        <f>IF(B19=0,0,B20/B19)</f>
        <v/>
      </c>
      <c r="C21" s="3">
        <f>IF(B21&lt;0.3,"WEAK (&lt;30% - high special-assessment risk)",IF(B21&lt;0.7,"FAIR (30-70%)","STRONG (70%+)"))</f>
        <v/>
      </c>
    </row>
    <row r="22">
      <c r="A22" s="6" t="inlineStr">
        <is>
          <t>CAI bands: under 30% = weak; 30-70% = fair; 70%+ = strong.</t>
        </is>
      </c>
    </row>
    <row r="24">
      <c r="A24" s="2" t="inlineStr">
        <is>
          <t>RESERVE FUNDING STATUS — ALL THREE MUST BE FUNDED BEFORE ANY REDUCTION</t>
        </is>
      </c>
    </row>
    <row r="25">
      <c r="A25" s="11" t="inlineStr">
        <is>
          <t>Reserve target</t>
        </is>
      </c>
      <c r="B25" s="11" t="inlineStr">
        <is>
          <t>Target</t>
        </is>
      </c>
      <c r="C25" s="11" t="inlineStr">
        <is>
          <t>Actual</t>
        </is>
      </c>
      <c r="D25" s="11" t="inlineStr">
        <is>
          <t>Status</t>
        </is>
      </c>
    </row>
    <row r="26">
      <c r="A26" s="12" t="inlineStr">
        <is>
          <t>1. Emergency Reserve funded to target</t>
        </is>
      </c>
      <c r="B26" s="15">
        <f>B12</f>
        <v/>
      </c>
      <c r="C26" s="15">
        <f>D12</f>
        <v/>
      </c>
      <c r="D26" s="17">
        <f>IF(D12&gt;=B12,"Funded","To be funded")</f>
        <v/>
      </c>
    </row>
    <row r="27">
      <c r="A27" s="12" t="inlineStr">
        <is>
          <t>2. Long-Term Maintenance never below $0</t>
        </is>
      </c>
      <c r="B27" s="15" t="n">
        <v>0</v>
      </c>
      <c r="C27" s="15">
        <f>MIN('Long-Term Maintenance'!F5:F28)</f>
        <v/>
      </c>
      <c r="D27" s="17">
        <f>IF(C27&gt;=B27,"Funded","To be funded")</f>
        <v/>
      </c>
    </row>
    <row r="28">
      <c r="A28" s="12" t="inlineStr">
        <is>
          <t>3. Operating Reserve at/above its floor</t>
        </is>
      </c>
      <c r="B28" s="15">
        <f>B14</f>
        <v/>
      </c>
      <c r="C28" s="15">
        <f>MIN('Operating Reserve'!F5:F28)</f>
        <v/>
      </c>
      <c r="D28" s="17">
        <f>IF(C28&gt;=B28,"Funded","To be funded")</f>
        <v/>
      </c>
    </row>
    <row r="29">
      <c r="A29" s="14" t="inlineStr">
        <is>
          <t>Reduction in common charges</t>
        </is>
      </c>
      <c r="D29" s="18">
        <f>IF(AND(D26="Funded",D27="Funded",D28="Funded"),"Reduction can be considered","Not yet supported — hold common charges")</f>
        <v/>
      </c>
    </row>
    <row r="31">
      <c r="A31" s="4" t="inlineStr">
        <is>
          <t>Combined Monthly Cost per Unit (Year 1, all three funds):</t>
        </is>
      </c>
      <c r="B31" s="19">
        <f>(C12+C13+C14)/B6/12</f>
        <v/>
      </c>
    </row>
    <row r="32">
      <c r="A32" s="6" t="inlineStr">
        <is>
          <t>Grows at the Growth Rate each year; this is Year-1. Add the HOA per-unit amount for a unit owner's all-in monthly.</t>
        </is>
      </c>
    </row>
    <row r="34">
      <c r="A34" s="6" t="inlineStr">
        <is>
          <t>To model a dues reduction: lower a fund's Year-1 Contribution above and watch the status. Any target turning 'To be funded' means the reduction is not supported.</t>
        </is>
      </c>
    </row>
    <row r="36">
      <c r="A36" s="2" t="inlineStr">
        <is>
          <t>OPERATING RESERVE BASIS</t>
        </is>
      </c>
    </row>
    <row r="37">
      <c r="A37" s="4" t="inlineStr">
        <is>
          <t>Monthly Operating Expense:</t>
        </is>
      </c>
      <c r="B37" s="9" t="n">
        <v>39286.67</v>
      </c>
      <c r="C37" s="6" t="inlineStr">
        <is>
          <t>The association's total monthly operating spend (excludes reserve contributions).</t>
        </is>
      </c>
    </row>
    <row r="38">
      <c r="A38" s="4" t="inlineStr">
        <is>
          <t>Operating Reserve Multiplier (months, 1-3):</t>
        </is>
      </c>
      <c r="B38" s="20" t="n">
        <v>3</v>
      </c>
      <c r="C38" s="6" t="inlineStr">
        <is>
          <t>Operating Reserve floor (row 14) = this multiplier x monthly operating expense.</t>
        </is>
      </c>
    </row>
    <row r="40">
      <c r="A40" s="2" t="inlineStr">
        <is>
          <t>MONTHLY FUNDING PER UNIT (Year 1)</t>
        </is>
      </c>
    </row>
    <row r="41">
      <c r="A41" s="11" t="inlineStr">
        <is>
          <t>Fund</t>
        </is>
      </c>
      <c r="B41" s="11" t="inlineStr">
        <is>
          <t>$ / unit / month</t>
        </is>
      </c>
    </row>
    <row r="42">
      <c r="A42" s="12" t="inlineStr">
        <is>
          <t>Emergency Reserve</t>
        </is>
      </c>
      <c r="B42" s="21">
        <f>C12/$B$6/12</f>
        <v/>
      </c>
    </row>
    <row r="43">
      <c r="A43" s="12" t="inlineStr">
        <is>
          <t>Long-Term Maintenance</t>
        </is>
      </c>
      <c r="B43" s="21">
        <f>C13/$B$6/12</f>
        <v/>
      </c>
    </row>
    <row r="44">
      <c r="A44" s="12" t="inlineStr">
        <is>
          <t>Operating Reserve</t>
        </is>
      </c>
      <c r="B44" s="21">
        <f>C14/$B$6/12</f>
        <v/>
      </c>
    </row>
    <row r="45">
      <c r="A45" s="14" t="inlineStr">
        <is>
          <t>TOTAL reserve funding / unit / month</t>
        </is>
      </c>
      <c r="B45" s="22">
        <f>(C12+C13+C14)/$B$6/12</f>
        <v/>
      </c>
    </row>
    <row r="46">
      <c r="A46" s="6" t="inlineStr">
        <is>
          <t>Equal per-unit split (fund contribution / units / 12); grows ~3%/yr. Excludes the separate $365/unit HOA dues. If common charges are set by percentage interest, larger units pay proportionally more than this average.</t>
        </is>
      </c>
    </row>
  </sheetData>
  <mergeCells count="1">
    <mergeCell ref="B29:C29"/>
  </mergeCells>
  <conditionalFormatting sqref="B21">
    <cfRule type="cellIs" priority="1" operator="lessThan" dxfId="0">
      <formula>0.3</formula>
    </cfRule>
    <cfRule type="cellIs" priority="2" operator="between" dxfId="1">
      <formula>0.3</formula>
      <formula>0.6999</formula>
    </cfRule>
    <cfRule type="cellIs" priority="3" operator="greaterThanOrEqual" dxfId="2">
      <formula>0.7</formula>
    </cfRule>
  </conditionalFormatting>
  <conditionalFormatting sqref="D26">
    <cfRule type="expression" priority="4" dxfId="0">
      <formula>D26="To be funded"</formula>
    </cfRule>
    <cfRule type="expression" priority="5" dxfId="2">
      <formula>D26="Funded"</formula>
    </cfRule>
  </conditionalFormatting>
  <conditionalFormatting sqref="D27">
    <cfRule type="expression" priority="6" dxfId="0">
      <formula>D27="To be funded"</formula>
    </cfRule>
    <cfRule type="expression" priority="7" dxfId="2">
      <formula>D27="Funded"</formula>
    </cfRule>
  </conditionalFormatting>
  <conditionalFormatting sqref="D28">
    <cfRule type="expression" priority="8" dxfId="0">
      <formula>D28="To be funded"</formula>
    </cfRule>
    <cfRule type="expression" priority="9" dxfId="2">
      <formula>D28="Funded"</formula>
    </cfRule>
  </conditionalFormatting>
  <conditionalFormatting sqref="D29">
    <cfRule type="expression" priority="10" dxfId="0">
      <formula>ISNUMBER(SEARCH("NOT YET",D29))</formula>
    </cfRule>
    <cfRule type="expression" priority="11" dxfId="2">
      <formula>ISNUMBER(SEARCH("CONSIDERED",D29))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J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8" customWidth="1" min="4" max="4"/>
    <col width="16" customWidth="1" min="5" max="5"/>
    <col width="18" customWidth="1" min="6" max="6"/>
    <col width="18" customWidth="1" min="7" max="7"/>
    <col width="16" customWidth="1" min="8" max="8"/>
    <col width="26" customWidth="1" min="10" max="10"/>
  </cols>
  <sheetData>
    <row r="1">
      <c r="A1" s="1" t="inlineStr">
        <is>
          <t>Scarborough Glen Condo Association IV — Emergency Reserve</t>
        </is>
      </c>
      <c r="J1" s="6" t="inlineStr">
        <is>
          <t>Floor (from Fund Summary):</t>
        </is>
      </c>
    </row>
    <row r="2">
      <c r="A2" s="6" t="inlineStr">
        <is>
          <t>All inputs are set on the Fund Summary sheet. This tab is calculated.</t>
        </is>
      </c>
      <c r="J2" s="23">
        <f>'Fund Summary'!$B$12</f>
        <v/>
      </c>
    </row>
    <row r="4">
      <c r="A4" s="11" t="inlineStr">
        <is>
          <t>Year</t>
        </is>
      </c>
      <c r="B4" s="11" t="inlineStr">
        <is>
          <t>Opening Balance</t>
        </is>
      </c>
      <c r="C4" s="11" t="inlineStr">
        <is>
          <t>Annual Contribution</t>
        </is>
      </c>
      <c r="D4" s="11" t="inlineStr">
        <is>
          <t>Disbursement</t>
        </is>
      </c>
      <c r="E4" s="11" t="inlineStr">
        <is>
          <t>Interest Earned</t>
        </is>
      </c>
      <c r="F4" s="11" t="inlineStr">
        <is>
          <t>Closing Balance</t>
        </is>
      </c>
      <c r="G4" s="11" t="inlineStr">
        <is>
          <t>Monthly Cost/Unit</t>
        </is>
      </c>
      <c r="H4" s="11" t="inlineStr">
        <is>
          <t>Status</t>
        </is>
      </c>
    </row>
    <row r="5">
      <c r="A5" s="12" t="n">
        <v>2027</v>
      </c>
      <c r="B5" s="15">
        <f>'Fund Summary'!$D$12</f>
        <v/>
      </c>
      <c r="C5" s="15">
        <f>IF('Fund Summary'!$D$12&gt;='Fund Summary'!$B$12,0,'Fund Summary'!$C$12)</f>
        <v/>
      </c>
      <c r="D5" s="15" t="n">
        <v>0</v>
      </c>
      <c r="E5" s="15">
        <f>B5*'Fund Summary'!$B$8</f>
        <v/>
      </c>
      <c r="F5" s="15">
        <f>B5+C5-D5+E5</f>
        <v/>
      </c>
      <c r="G5" s="24">
        <f>C5/'Fund Summary'!$B$6/12</f>
        <v/>
      </c>
      <c r="H5" s="17">
        <f>IF(F5&gt;='Fund Summary'!$B$12,"FUNDED","BUILDING")</f>
        <v/>
      </c>
    </row>
    <row r="6">
      <c r="A6" s="12" t="n">
        <v>2028</v>
      </c>
      <c r="B6" s="15">
        <f>F5</f>
        <v/>
      </c>
      <c r="C6" s="15">
        <f>IF(F5&gt;='Fund Summary'!$B$12,0,'Fund Summary'!$C$12*(1+'Fund Summary'!$B$7)^1)</f>
        <v/>
      </c>
      <c r="D6" s="15" t="n">
        <v>0</v>
      </c>
      <c r="E6" s="15">
        <f>B6*'Fund Summary'!$B$8</f>
        <v/>
      </c>
      <c r="F6" s="15">
        <f>B6+C6-D6+E6</f>
        <v/>
      </c>
      <c r="G6" s="24">
        <f>C6/'Fund Summary'!$B$6/12</f>
        <v/>
      </c>
      <c r="H6" s="17">
        <f>IF(F6&gt;='Fund Summary'!$B$12,"FUNDED","BUILDING")</f>
        <v/>
      </c>
    </row>
    <row r="7">
      <c r="A7" s="12" t="n">
        <v>2029</v>
      </c>
      <c r="B7" s="15">
        <f>F6</f>
        <v/>
      </c>
      <c r="C7" s="15">
        <f>IF(F6&gt;='Fund Summary'!$B$12,0,'Fund Summary'!$C$12*(1+'Fund Summary'!$B$7)^2)</f>
        <v/>
      </c>
      <c r="D7" s="15" t="n">
        <v>0</v>
      </c>
      <c r="E7" s="15">
        <f>B7*'Fund Summary'!$B$8</f>
        <v/>
      </c>
      <c r="F7" s="15">
        <f>B7+C7-D7+E7</f>
        <v/>
      </c>
      <c r="G7" s="24">
        <f>C7/'Fund Summary'!$B$6/12</f>
        <v/>
      </c>
      <c r="H7" s="17">
        <f>IF(F7&gt;='Fund Summary'!$B$12,"FUNDED","BUILDING")</f>
        <v/>
      </c>
    </row>
    <row r="8">
      <c r="A8" s="12" t="n">
        <v>2030</v>
      </c>
      <c r="B8" s="15">
        <f>F7</f>
        <v/>
      </c>
      <c r="C8" s="15">
        <f>IF(F7&gt;='Fund Summary'!$B$12,0,'Fund Summary'!$C$12*(1+'Fund Summary'!$B$7)^3)</f>
        <v/>
      </c>
      <c r="D8" s="15" t="n">
        <v>0</v>
      </c>
      <c r="E8" s="15">
        <f>B8*'Fund Summary'!$B$8</f>
        <v/>
      </c>
      <c r="F8" s="15">
        <f>B8+C8-D8+E8</f>
        <v/>
      </c>
      <c r="G8" s="24">
        <f>C8/'Fund Summary'!$B$6/12</f>
        <v/>
      </c>
      <c r="H8" s="17">
        <f>IF(F8&gt;='Fund Summary'!$B$12,"FUNDED","BUILDING")</f>
        <v/>
      </c>
    </row>
    <row r="9">
      <c r="A9" s="12" t="n">
        <v>2031</v>
      </c>
      <c r="B9" s="15">
        <f>F8</f>
        <v/>
      </c>
      <c r="C9" s="15">
        <f>IF(F8&gt;='Fund Summary'!$B$12,0,'Fund Summary'!$C$12*(1+'Fund Summary'!$B$7)^4)</f>
        <v/>
      </c>
      <c r="D9" s="15" t="n">
        <v>0</v>
      </c>
      <c r="E9" s="15">
        <f>B9*'Fund Summary'!$B$8</f>
        <v/>
      </c>
      <c r="F9" s="15">
        <f>B9+C9-D9+E9</f>
        <v/>
      </c>
      <c r="G9" s="24">
        <f>C9/'Fund Summary'!$B$6/12</f>
        <v/>
      </c>
      <c r="H9" s="17">
        <f>IF(F9&gt;='Fund Summary'!$B$12,"FUNDED","BUILDING")</f>
        <v/>
      </c>
    </row>
    <row r="10">
      <c r="A10" s="12" t="n">
        <v>2032</v>
      </c>
      <c r="B10" s="15">
        <f>F9</f>
        <v/>
      </c>
      <c r="C10" s="15">
        <f>IF(F9&gt;='Fund Summary'!$B$12,0,'Fund Summary'!$C$12*(1+'Fund Summary'!$B$7)^5)</f>
        <v/>
      </c>
      <c r="D10" s="15" t="n">
        <v>0</v>
      </c>
      <c r="E10" s="15">
        <f>B10*'Fund Summary'!$B$8</f>
        <v/>
      </c>
      <c r="F10" s="15">
        <f>B10+C10-D10+E10</f>
        <v/>
      </c>
      <c r="G10" s="24">
        <f>C10/'Fund Summary'!$B$6/12</f>
        <v/>
      </c>
      <c r="H10" s="17">
        <f>IF(F10&gt;='Fund Summary'!$B$12,"FUNDED","BUILDING")</f>
        <v/>
      </c>
    </row>
    <row r="11">
      <c r="A11" s="12" t="n">
        <v>2033</v>
      </c>
      <c r="B11" s="15">
        <f>F10</f>
        <v/>
      </c>
      <c r="C11" s="15">
        <f>IF(F10&gt;='Fund Summary'!$B$12,0,'Fund Summary'!$C$12*(1+'Fund Summary'!$B$7)^6)</f>
        <v/>
      </c>
      <c r="D11" s="15" t="n">
        <v>0</v>
      </c>
      <c r="E11" s="15">
        <f>B11*'Fund Summary'!$B$8</f>
        <v/>
      </c>
      <c r="F11" s="15">
        <f>B11+C11-D11+E11</f>
        <v/>
      </c>
      <c r="G11" s="24">
        <f>C11/'Fund Summary'!$B$6/12</f>
        <v/>
      </c>
      <c r="H11" s="17">
        <f>IF(F11&gt;='Fund Summary'!$B$12,"FUNDED","BUILDING")</f>
        <v/>
      </c>
    </row>
    <row r="12">
      <c r="A12" s="12" t="n">
        <v>2034</v>
      </c>
      <c r="B12" s="15">
        <f>F11</f>
        <v/>
      </c>
      <c r="C12" s="15">
        <f>IF(F11&gt;='Fund Summary'!$B$12,0,'Fund Summary'!$C$12*(1+'Fund Summary'!$B$7)^7)</f>
        <v/>
      </c>
      <c r="D12" s="15" t="n">
        <v>0</v>
      </c>
      <c r="E12" s="15">
        <f>B12*'Fund Summary'!$B$8</f>
        <v/>
      </c>
      <c r="F12" s="15">
        <f>B12+C12-D12+E12</f>
        <v/>
      </c>
      <c r="G12" s="24">
        <f>C12/'Fund Summary'!$B$6/12</f>
        <v/>
      </c>
      <c r="H12" s="17">
        <f>IF(F12&gt;='Fund Summary'!$B$12,"FUNDED","BUILDING")</f>
        <v/>
      </c>
    </row>
    <row r="13">
      <c r="A13" s="12" t="n">
        <v>2035</v>
      </c>
      <c r="B13" s="15">
        <f>F12</f>
        <v/>
      </c>
      <c r="C13" s="15">
        <f>IF(F12&gt;='Fund Summary'!$B$12,0,'Fund Summary'!$C$12*(1+'Fund Summary'!$B$7)^8)</f>
        <v/>
      </c>
      <c r="D13" s="15" t="n">
        <v>0</v>
      </c>
      <c r="E13" s="15">
        <f>B13*'Fund Summary'!$B$8</f>
        <v/>
      </c>
      <c r="F13" s="15">
        <f>B13+C13-D13+E13</f>
        <v/>
      </c>
      <c r="G13" s="24">
        <f>C13/'Fund Summary'!$B$6/12</f>
        <v/>
      </c>
      <c r="H13" s="17">
        <f>IF(F13&gt;='Fund Summary'!$B$12,"FUNDED","BUILDING")</f>
        <v/>
      </c>
    </row>
    <row r="14">
      <c r="A14" s="12" t="n">
        <v>2036</v>
      </c>
      <c r="B14" s="15">
        <f>F13</f>
        <v/>
      </c>
      <c r="C14" s="15">
        <f>IF(F13&gt;='Fund Summary'!$B$12,0,'Fund Summary'!$C$12*(1+'Fund Summary'!$B$7)^9)</f>
        <v/>
      </c>
      <c r="D14" s="15" t="n">
        <v>0</v>
      </c>
      <c r="E14" s="15">
        <f>B14*'Fund Summary'!$B$8</f>
        <v/>
      </c>
      <c r="F14" s="15">
        <f>B14+C14-D14+E14</f>
        <v/>
      </c>
      <c r="G14" s="24">
        <f>C14/'Fund Summary'!$B$6/12</f>
        <v/>
      </c>
      <c r="H14" s="17">
        <f>IF(F14&gt;='Fund Summary'!$B$12,"FUNDED","BUILDING")</f>
        <v/>
      </c>
    </row>
    <row r="15">
      <c r="A15" s="12" t="n">
        <v>2037</v>
      </c>
      <c r="B15" s="15">
        <f>F14</f>
        <v/>
      </c>
      <c r="C15" s="15">
        <f>IF(F14&gt;='Fund Summary'!$B$12,0,'Fund Summary'!$C$12*(1+'Fund Summary'!$B$7)^10)</f>
        <v/>
      </c>
      <c r="D15" s="15" t="n">
        <v>0</v>
      </c>
      <c r="E15" s="15">
        <f>B15*'Fund Summary'!$B$8</f>
        <v/>
      </c>
      <c r="F15" s="15">
        <f>B15+C15-D15+E15</f>
        <v/>
      </c>
      <c r="G15" s="24">
        <f>C15/'Fund Summary'!$B$6/12</f>
        <v/>
      </c>
      <c r="H15" s="17">
        <f>IF(F15&gt;='Fund Summary'!$B$12,"FUNDED","BUILDING")</f>
        <v/>
      </c>
    </row>
    <row r="16">
      <c r="A16" s="12" t="n">
        <v>2038</v>
      </c>
      <c r="B16" s="15">
        <f>F15</f>
        <v/>
      </c>
      <c r="C16" s="15">
        <f>IF(F15&gt;='Fund Summary'!$B$12,0,'Fund Summary'!$C$12*(1+'Fund Summary'!$B$7)^11)</f>
        <v/>
      </c>
      <c r="D16" s="15" t="n">
        <v>0</v>
      </c>
      <c r="E16" s="15">
        <f>B16*'Fund Summary'!$B$8</f>
        <v/>
      </c>
      <c r="F16" s="15">
        <f>B16+C16-D16+E16</f>
        <v/>
      </c>
      <c r="G16" s="24">
        <f>C16/'Fund Summary'!$B$6/12</f>
        <v/>
      </c>
      <c r="H16" s="17">
        <f>IF(F16&gt;='Fund Summary'!$B$12,"FUNDED","BUILDING")</f>
        <v/>
      </c>
    </row>
    <row r="17">
      <c r="A17" s="12" t="n">
        <v>2039</v>
      </c>
      <c r="B17" s="15">
        <f>F16</f>
        <v/>
      </c>
      <c r="C17" s="15">
        <f>IF(F16&gt;='Fund Summary'!$B$12,0,'Fund Summary'!$C$12*(1+'Fund Summary'!$B$7)^12)</f>
        <v/>
      </c>
      <c r="D17" s="15" t="n">
        <v>0</v>
      </c>
      <c r="E17" s="15">
        <f>B17*'Fund Summary'!$B$8</f>
        <v/>
      </c>
      <c r="F17" s="15">
        <f>B17+C17-D17+E17</f>
        <v/>
      </c>
      <c r="G17" s="24">
        <f>C17/'Fund Summary'!$B$6/12</f>
        <v/>
      </c>
      <c r="H17" s="17">
        <f>IF(F17&gt;='Fund Summary'!$B$12,"FUNDED","BUILDING")</f>
        <v/>
      </c>
    </row>
    <row r="18">
      <c r="A18" s="12" t="n">
        <v>2040</v>
      </c>
      <c r="B18" s="15">
        <f>F17</f>
        <v/>
      </c>
      <c r="C18" s="15">
        <f>IF(F17&gt;='Fund Summary'!$B$12,0,'Fund Summary'!$C$12*(1+'Fund Summary'!$B$7)^13)</f>
        <v/>
      </c>
      <c r="D18" s="15" t="n">
        <v>0</v>
      </c>
      <c r="E18" s="15">
        <f>B18*'Fund Summary'!$B$8</f>
        <v/>
      </c>
      <c r="F18" s="15">
        <f>B18+C18-D18+E18</f>
        <v/>
      </c>
      <c r="G18" s="24">
        <f>C18/'Fund Summary'!$B$6/12</f>
        <v/>
      </c>
      <c r="H18" s="17">
        <f>IF(F18&gt;='Fund Summary'!$B$12,"FUNDED","BUILDING")</f>
        <v/>
      </c>
    </row>
    <row r="19">
      <c r="A19" s="12" t="n">
        <v>2041</v>
      </c>
      <c r="B19" s="15">
        <f>F18</f>
        <v/>
      </c>
      <c r="C19" s="15">
        <f>IF(F18&gt;='Fund Summary'!$B$12,0,'Fund Summary'!$C$12*(1+'Fund Summary'!$B$7)^14)</f>
        <v/>
      </c>
      <c r="D19" s="15" t="n">
        <v>0</v>
      </c>
      <c r="E19" s="15">
        <f>B19*'Fund Summary'!$B$8</f>
        <v/>
      </c>
      <c r="F19" s="15">
        <f>B19+C19-D19+E19</f>
        <v/>
      </c>
      <c r="G19" s="24">
        <f>C19/'Fund Summary'!$B$6/12</f>
        <v/>
      </c>
      <c r="H19" s="17">
        <f>IF(F19&gt;='Fund Summary'!$B$12,"FUNDED","BUILDING")</f>
        <v/>
      </c>
    </row>
    <row r="20">
      <c r="A20" s="12" t="n">
        <v>2042</v>
      </c>
      <c r="B20" s="15">
        <f>F19</f>
        <v/>
      </c>
      <c r="C20" s="15">
        <f>IF(F19&gt;='Fund Summary'!$B$12,0,'Fund Summary'!$C$12*(1+'Fund Summary'!$B$7)^15)</f>
        <v/>
      </c>
      <c r="D20" s="15" t="n">
        <v>0</v>
      </c>
      <c r="E20" s="15">
        <f>B20*'Fund Summary'!$B$8</f>
        <v/>
      </c>
      <c r="F20" s="15">
        <f>B20+C20-D20+E20</f>
        <v/>
      </c>
      <c r="G20" s="24">
        <f>C20/'Fund Summary'!$B$6/12</f>
        <v/>
      </c>
      <c r="H20" s="17">
        <f>IF(F20&gt;='Fund Summary'!$B$12,"FUNDED","BUILDING")</f>
        <v/>
      </c>
    </row>
    <row r="21">
      <c r="A21" s="12" t="n">
        <v>2043</v>
      </c>
      <c r="B21" s="15">
        <f>F20</f>
        <v/>
      </c>
      <c r="C21" s="15">
        <f>IF(F20&gt;='Fund Summary'!$B$12,0,'Fund Summary'!$C$12*(1+'Fund Summary'!$B$7)^16)</f>
        <v/>
      </c>
      <c r="D21" s="15" t="n">
        <v>0</v>
      </c>
      <c r="E21" s="15">
        <f>B21*'Fund Summary'!$B$8</f>
        <v/>
      </c>
      <c r="F21" s="15">
        <f>B21+C21-D21+E21</f>
        <v/>
      </c>
      <c r="G21" s="24">
        <f>C21/'Fund Summary'!$B$6/12</f>
        <v/>
      </c>
      <c r="H21" s="17">
        <f>IF(F21&gt;='Fund Summary'!$B$12,"FUNDED","BUILDING")</f>
        <v/>
      </c>
    </row>
    <row r="22">
      <c r="A22" s="12" t="n">
        <v>2044</v>
      </c>
      <c r="B22" s="15">
        <f>F21</f>
        <v/>
      </c>
      <c r="C22" s="15">
        <f>IF(F21&gt;='Fund Summary'!$B$12,0,'Fund Summary'!$C$12*(1+'Fund Summary'!$B$7)^17)</f>
        <v/>
      </c>
      <c r="D22" s="15" t="n">
        <v>0</v>
      </c>
      <c r="E22" s="15">
        <f>B22*'Fund Summary'!$B$8</f>
        <v/>
      </c>
      <c r="F22" s="15">
        <f>B22+C22-D22+E22</f>
        <v/>
      </c>
      <c r="G22" s="24">
        <f>C22/'Fund Summary'!$B$6/12</f>
        <v/>
      </c>
      <c r="H22" s="17">
        <f>IF(F22&gt;='Fund Summary'!$B$12,"FUNDED","BUILDING")</f>
        <v/>
      </c>
    </row>
    <row r="23">
      <c r="A23" s="12" t="n">
        <v>2045</v>
      </c>
      <c r="B23" s="15">
        <f>F22</f>
        <v/>
      </c>
      <c r="C23" s="15">
        <f>IF(F22&gt;='Fund Summary'!$B$12,0,'Fund Summary'!$C$12*(1+'Fund Summary'!$B$7)^18)</f>
        <v/>
      </c>
      <c r="D23" s="15" t="n">
        <v>0</v>
      </c>
      <c r="E23" s="15">
        <f>B23*'Fund Summary'!$B$8</f>
        <v/>
      </c>
      <c r="F23" s="15">
        <f>B23+C23-D23+E23</f>
        <v/>
      </c>
      <c r="G23" s="24">
        <f>C23/'Fund Summary'!$B$6/12</f>
        <v/>
      </c>
      <c r="H23" s="17">
        <f>IF(F23&gt;='Fund Summary'!$B$12,"FUNDED","BUILDING")</f>
        <v/>
      </c>
    </row>
    <row r="24">
      <c r="A24" s="12" t="n">
        <v>2046</v>
      </c>
      <c r="B24" s="15">
        <f>F23</f>
        <v/>
      </c>
      <c r="C24" s="15">
        <f>IF(F23&gt;='Fund Summary'!$B$12,0,'Fund Summary'!$C$12*(1+'Fund Summary'!$B$7)^19)</f>
        <v/>
      </c>
      <c r="D24" s="15" t="n">
        <v>0</v>
      </c>
      <c r="E24" s="15">
        <f>B24*'Fund Summary'!$B$8</f>
        <v/>
      </c>
      <c r="F24" s="15">
        <f>B24+C24-D24+E24</f>
        <v/>
      </c>
      <c r="G24" s="24">
        <f>C24/'Fund Summary'!$B$6/12</f>
        <v/>
      </c>
      <c r="H24" s="17">
        <f>IF(F24&gt;='Fund Summary'!$B$12,"FUNDED","BUILDING")</f>
        <v/>
      </c>
    </row>
    <row r="25">
      <c r="A25" s="12" t="n">
        <v>2047</v>
      </c>
      <c r="B25" s="15">
        <f>F24</f>
        <v/>
      </c>
      <c r="C25" s="15">
        <f>IF(F24&gt;='Fund Summary'!$B$12,0,'Fund Summary'!$C$12*(1+'Fund Summary'!$B$7)^20)</f>
        <v/>
      </c>
      <c r="D25" s="15" t="n">
        <v>0</v>
      </c>
      <c r="E25" s="15">
        <f>B25*'Fund Summary'!$B$8</f>
        <v/>
      </c>
      <c r="F25" s="15">
        <f>B25+C25-D25+E25</f>
        <v/>
      </c>
      <c r="G25" s="24">
        <f>C25/'Fund Summary'!$B$6/12</f>
        <v/>
      </c>
      <c r="H25" s="17">
        <f>IF(F25&gt;='Fund Summary'!$B$12,"FUNDED","BUILDING")</f>
        <v/>
      </c>
    </row>
    <row r="26">
      <c r="A26" s="12" t="n">
        <v>2048</v>
      </c>
      <c r="B26" s="15">
        <f>F25</f>
        <v/>
      </c>
      <c r="C26" s="15">
        <f>IF(F25&gt;='Fund Summary'!$B$12,0,'Fund Summary'!$C$12*(1+'Fund Summary'!$B$7)^21)</f>
        <v/>
      </c>
      <c r="D26" s="15" t="n">
        <v>0</v>
      </c>
      <c r="E26" s="15">
        <f>B26*'Fund Summary'!$B$8</f>
        <v/>
      </c>
      <c r="F26" s="15">
        <f>B26+C26-D26+E26</f>
        <v/>
      </c>
      <c r="G26" s="24">
        <f>C26/'Fund Summary'!$B$6/12</f>
        <v/>
      </c>
      <c r="H26" s="17">
        <f>IF(F26&gt;='Fund Summary'!$B$12,"FUNDED","BUILDING")</f>
        <v/>
      </c>
    </row>
    <row r="27">
      <c r="A27" s="12" t="n">
        <v>2049</v>
      </c>
      <c r="B27" s="15">
        <f>F26</f>
        <v/>
      </c>
      <c r="C27" s="15">
        <f>IF(F26&gt;='Fund Summary'!$B$12,0,'Fund Summary'!$C$12*(1+'Fund Summary'!$B$7)^22)</f>
        <v/>
      </c>
      <c r="D27" s="15" t="n">
        <v>0</v>
      </c>
      <c r="E27" s="15">
        <f>B27*'Fund Summary'!$B$8</f>
        <v/>
      </c>
      <c r="F27" s="15">
        <f>B27+C27-D27+E27</f>
        <v/>
      </c>
      <c r="G27" s="24">
        <f>C27/'Fund Summary'!$B$6/12</f>
        <v/>
      </c>
      <c r="H27" s="17">
        <f>IF(F27&gt;='Fund Summary'!$B$12,"FUNDED","BUILDING")</f>
        <v/>
      </c>
    </row>
    <row r="28">
      <c r="A28" s="12" t="n">
        <v>2050</v>
      </c>
      <c r="B28" s="15">
        <f>F27</f>
        <v/>
      </c>
      <c r="C28" s="15">
        <f>IF(F27&gt;='Fund Summary'!$B$12,0,'Fund Summary'!$C$12*(1+'Fund Summary'!$B$7)^23)</f>
        <v/>
      </c>
      <c r="D28" s="15" t="n">
        <v>0</v>
      </c>
      <c r="E28" s="15">
        <f>B28*'Fund Summary'!$B$8</f>
        <v/>
      </c>
      <c r="F28" s="15">
        <f>B28+C28-D28+E28</f>
        <v/>
      </c>
      <c r="G28" s="24">
        <f>C28/'Fund Summary'!$B$6/12</f>
        <v/>
      </c>
      <c r="H28" s="17">
        <f>IF(F28&gt;='Fund Summary'!$B$12,"FUNDED","BUILDING")</f>
        <v/>
      </c>
    </row>
    <row r="29">
      <c r="A29" s="14" t="inlineStr">
        <is>
          <t>TOTAL</t>
        </is>
      </c>
      <c r="C29" s="8">
        <f>SUM(C5:C28)</f>
        <v/>
      </c>
      <c r="D29" s="8">
        <f>SUM(D5:D28)</f>
        <v/>
      </c>
      <c r="E29" s="8">
        <f>SUM(E5:E28)</f>
        <v/>
      </c>
    </row>
  </sheetData>
  <conditionalFormatting sqref="F5:F28">
    <cfRule type="expression" priority="1" dxfId="2">
      <formula>F5&gt;=$J$2</formula>
    </cfRule>
    <cfRule type="expression" priority="2" dxfId="1">
      <formula>F5&lt;$J$2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8" customWidth="1" min="4" max="4"/>
    <col width="16" customWidth="1" min="5" max="5"/>
    <col width="18" customWidth="1" min="6" max="6"/>
    <col width="18" customWidth="1" min="7" max="7"/>
    <col width="16" customWidth="1" min="8" max="8"/>
  </cols>
  <sheetData>
    <row r="1">
      <c r="A1" s="1" t="inlineStr">
        <is>
          <t>Scarborough Glen Condo Association IV — Long-Term Maintenance</t>
        </is>
      </c>
    </row>
    <row r="2">
      <c r="A2" s="6" t="inlineStr">
        <is>
          <t>All inputs are set on the Fund Summary sheet. This tab is calculated.</t>
        </is>
      </c>
    </row>
    <row r="4">
      <c r="A4" s="11" t="inlineStr">
        <is>
          <t>Year</t>
        </is>
      </c>
      <c r="B4" s="11" t="inlineStr">
        <is>
          <t>Opening Balance</t>
        </is>
      </c>
      <c r="C4" s="11" t="inlineStr">
        <is>
          <t>Annual Contribution</t>
        </is>
      </c>
      <c r="D4" s="11" t="inlineStr">
        <is>
          <t>Disbursement</t>
        </is>
      </c>
      <c r="E4" s="11" t="inlineStr">
        <is>
          <t>Interest Earned</t>
        </is>
      </c>
      <c r="F4" s="11" t="inlineStr">
        <is>
          <t>Closing Balance</t>
        </is>
      </c>
      <c r="G4" s="11" t="inlineStr">
        <is>
          <t>Monthly Cost/Unit</t>
        </is>
      </c>
      <c r="H4" s="11" t="inlineStr">
        <is>
          <t>Status</t>
        </is>
      </c>
    </row>
    <row r="5">
      <c r="A5" s="12" t="n">
        <v>2027</v>
      </c>
      <c r="B5" s="15">
        <f>'Fund Summary'!$D$13</f>
        <v/>
      </c>
      <c r="C5" s="15">
        <f>'Fund Summary'!$C$13</f>
        <v/>
      </c>
      <c r="D5" s="15" t="n">
        <v>88065</v>
      </c>
      <c r="E5" s="15">
        <f>B5*'Fund Summary'!$B$8</f>
        <v/>
      </c>
      <c r="F5" s="15">
        <f>B5+C5-D5+E5</f>
        <v/>
      </c>
      <c r="G5" s="24">
        <f>C5/'Fund Summary'!$B$6/12</f>
        <v/>
      </c>
      <c r="H5" s="17">
        <f>IF(F5&lt;0,"BELOW $0","")</f>
        <v/>
      </c>
    </row>
    <row r="6">
      <c r="A6" s="12" t="n">
        <v>2028</v>
      </c>
      <c r="B6" s="15">
        <f>F5</f>
        <v/>
      </c>
      <c r="C6" s="15">
        <f>C5*(1+'Fund Summary'!$B$7)</f>
        <v/>
      </c>
      <c r="D6" s="15" t="n">
        <v>158498</v>
      </c>
      <c r="E6" s="15">
        <f>B6*'Fund Summary'!$B$8</f>
        <v/>
      </c>
      <c r="F6" s="15">
        <f>B6+C6-D6+E6</f>
        <v/>
      </c>
      <c r="G6" s="24">
        <f>C6/'Fund Summary'!$B$6/12</f>
        <v/>
      </c>
      <c r="H6" s="17">
        <f>IF(F6&lt;0,"BELOW $0","")</f>
        <v/>
      </c>
    </row>
    <row r="7">
      <c r="A7" s="12" t="n">
        <v>2029</v>
      </c>
      <c r="B7" s="15">
        <f>F6</f>
        <v/>
      </c>
      <c r="C7" s="15">
        <f>C6*(1+'Fund Summary'!$B$7)</f>
        <v/>
      </c>
      <c r="D7" s="15" t="n">
        <v>0</v>
      </c>
      <c r="E7" s="15">
        <f>B7*'Fund Summary'!$B$8</f>
        <v/>
      </c>
      <c r="F7" s="15">
        <f>B7+C7-D7+E7</f>
        <v/>
      </c>
      <c r="G7" s="24">
        <f>C7/'Fund Summary'!$B$6/12</f>
        <v/>
      </c>
      <c r="H7" s="17">
        <f>IF(F7&lt;0,"BELOW $0","")</f>
        <v/>
      </c>
    </row>
    <row r="8">
      <c r="A8" s="12" t="n">
        <v>2030</v>
      </c>
      <c r="B8" s="15">
        <f>F7</f>
        <v/>
      </c>
      <c r="C8" s="15">
        <f>C7*(1+'Fund Summary'!$B$7)</f>
        <v/>
      </c>
      <c r="D8" s="15" t="n">
        <v>0</v>
      </c>
      <c r="E8" s="15">
        <f>B8*'Fund Summary'!$B$8</f>
        <v/>
      </c>
      <c r="F8" s="15">
        <f>B8+C8-D8+E8</f>
        <v/>
      </c>
      <c r="G8" s="24">
        <f>C8/'Fund Summary'!$B$6/12</f>
        <v/>
      </c>
      <c r="H8" s="17">
        <f>IF(F8&lt;0,"BELOW $0","")</f>
        <v/>
      </c>
    </row>
    <row r="9">
      <c r="A9" s="12" t="n">
        <v>2031</v>
      </c>
      <c r="B9" s="15">
        <f>F8</f>
        <v/>
      </c>
      <c r="C9" s="15">
        <f>C8*(1+'Fund Summary'!$B$7)</f>
        <v/>
      </c>
      <c r="D9" s="15" t="n">
        <v>145095</v>
      </c>
      <c r="E9" s="15">
        <f>B9*'Fund Summary'!$B$8</f>
        <v/>
      </c>
      <c r="F9" s="15">
        <f>B9+C9-D9+E9</f>
        <v/>
      </c>
      <c r="G9" s="24">
        <f>C9/'Fund Summary'!$B$6/12</f>
        <v/>
      </c>
      <c r="H9" s="17">
        <f>IF(F9&lt;0,"BELOW $0","")</f>
        <v/>
      </c>
    </row>
    <row r="10">
      <c r="A10" s="12" t="n">
        <v>2032</v>
      </c>
      <c r="B10" s="15">
        <f>F9</f>
        <v/>
      </c>
      <c r="C10" s="15">
        <f>C9*(1+'Fund Summary'!$B$7)</f>
        <v/>
      </c>
      <c r="D10" s="15" t="n">
        <v>234034</v>
      </c>
      <c r="E10" s="15">
        <f>B10*'Fund Summary'!$B$8</f>
        <v/>
      </c>
      <c r="F10" s="15">
        <f>B10+C10-D10+E10</f>
        <v/>
      </c>
      <c r="G10" s="24">
        <f>C10/'Fund Summary'!$B$6/12</f>
        <v/>
      </c>
      <c r="H10" s="17">
        <f>IF(F10&lt;0,"BELOW $0","")</f>
        <v/>
      </c>
    </row>
    <row r="11">
      <c r="A11" s="12" t="n">
        <v>2033</v>
      </c>
      <c r="B11" s="15">
        <f>F10</f>
        <v/>
      </c>
      <c r="C11" s="15">
        <f>C10*(1+'Fund Summary'!$B$7)</f>
        <v/>
      </c>
      <c r="D11" s="15" t="n">
        <v>478913</v>
      </c>
      <c r="E11" s="15">
        <f>B11*'Fund Summary'!$B$8</f>
        <v/>
      </c>
      <c r="F11" s="15">
        <f>B11+C11-D11+E11</f>
        <v/>
      </c>
      <c r="G11" s="24">
        <f>C11/'Fund Summary'!$B$6/12</f>
        <v/>
      </c>
      <c r="H11" s="17">
        <f>IF(F11&lt;0,"BELOW $0","")</f>
        <v/>
      </c>
    </row>
    <row r="12">
      <c r="A12" s="12" t="n">
        <v>2034</v>
      </c>
      <c r="B12" s="15">
        <f>F11</f>
        <v/>
      </c>
      <c r="C12" s="15">
        <f>C11*(1+'Fund Summary'!$B$7)</f>
        <v/>
      </c>
      <c r="D12" s="15" t="n">
        <v>0</v>
      </c>
      <c r="E12" s="15">
        <f>B12*'Fund Summary'!$B$8</f>
        <v/>
      </c>
      <c r="F12" s="15">
        <f>B12+C12-D12+E12</f>
        <v/>
      </c>
      <c r="G12" s="24">
        <f>C12/'Fund Summary'!$B$6/12</f>
        <v/>
      </c>
      <c r="H12" s="17">
        <f>IF(F12&lt;0,"BELOW $0","")</f>
        <v/>
      </c>
    </row>
    <row r="13">
      <c r="A13" s="12" t="n">
        <v>2035</v>
      </c>
      <c r="B13" s="15">
        <f>F12</f>
        <v/>
      </c>
      <c r="C13" s="15">
        <f>C12*(1+'Fund Summary'!$B$7)</f>
        <v/>
      </c>
      <c r="D13" s="15" t="n">
        <v>38360</v>
      </c>
      <c r="E13" s="15">
        <f>B13*'Fund Summary'!$B$8</f>
        <v/>
      </c>
      <c r="F13" s="15">
        <f>B13+C13-D13+E13</f>
        <v/>
      </c>
      <c r="G13" s="24">
        <f>C13/'Fund Summary'!$B$6/12</f>
        <v/>
      </c>
      <c r="H13" s="17">
        <f>IF(F13&lt;0,"BELOW $0","")</f>
        <v/>
      </c>
    </row>
    <row r="14">
      <c r="A14" s="12" t="n">
        <v>2036</v>
      </c>
      <c r="B14" s="15">
        <f>F13</f>
        <v/>
      </c>
      <c r="C14" s="15">
        <f>C13*(1+'Fund Summary'!$B$7)</f>
        <v/>
      </c>
      <c r="D14" s="15" t="n">
        <v>0</v>
      </c>
      <c r="E14" s="15">
        <f>B14*'Fund Summary'!$B$8</f>
        <v/>
      </c>
      <c r="F14" s="15">
        <f>B14+C14-D14+E14</f>
        <v/>
      </c>
      <c r="G14" s="24">
        <f>C14/'Fund Summary'!$B$6/12</f>
        <v/>
      </c>
      <c r="H14" s="17">
        <f>IF(F14&lt;0,"BELOW $0","")</f>
        <v/>
      </c>
    </row>
    <row r="15">
      <c r="A15" s="12" t="n">
        <v>2037</v>
      </c>
      <c r="B15" s="15">
        <f>F14</f>
        <v/>
      </c>
      <c r="C15" s="15">
        <f>C14*(1+'Fund Summary'!$B$7)</f>
        <v/>
      </c>
      <c r="D15" s="15" t="n">
        <v>0</v>
      </c>
      <c r="E15" s="15">
        <f>B15*'Fund Summary'!$B$8</f>
        <v/>
      </c>
      <c r="F15" s="15">
        <f>B15+C15-D15+E15</f>
        <v/>
      </c>
      <c r="G15" s="24">
        <f>C15/'Fund Summary'!$B$6/12</f>
        <v/>
      </c>
      <c r="H15" s="17">
        <f>IF(F15&lt;0,"BELOW $0","")</f>
        <v/>
      </c>
    </row>
    <row r="16">
      <c r="A16" s="12" t="n">
        <v>2038</v>
      </c>
      <c r="B16" s="15">
        <f>F15</f>
        <v/>
      </c>
      <c r="C16" s="15">
        <f>C15*(1+'Fund Summary'!$B$7)</f>
        <v/>
      </c>
      <c r="D16" s="15" t="n">
        <v>0</v>
      </c>
      <c r="E16" s="15">
        <f>B16*'Fund Summary'!$B$8</f>
        <v/>
      </c>
      <c r="F16" s="15">
        <f>B16+C16-D16+E16</f>
        <v/>
      </c>
      <c r="G16" s="24">
        <f>C16/'Fund Summary'!$B$6/12</f>
        <v/>
      </c>
      <c r="H16" s="17">
        <f>IF(F16&lt;0,"BELOW $0","")</f>
        <v/>
      </c>
    </row>
    <row r="17">
      <c r="A17" s="12" t="n">
        <v>2039</v>
      </c>
      <c r="B17" s="15">
        <f>F16</f>
        <v/>
      </c>
      <c r="C17" s="15">
        <f>C16*(1+'Fund Summary'!$B$7)</f>
        <v/>
      </c>
      <c r="D17" s="15" t="n">
        <v>22028</v>
      </c>
      <c r="E17" s="15">
        <f>B17*'Fund Summary'!$B$8</f>
        <v/>
      </c>
      <c r="F17" s="15">
        <f>B17+C17-D17+E17</f>
        <v/>
      </c>
      <c r="G17" s="24">
        <f>C17/'Fund Summary'!$B$6/12</f>
        <v/>
      </c>
      <c r="H17" s="17">
        <f>IF(F17&lt;0,"BELOW $0","")</f>
        <v/>
      </c>
    </row>
    <row r="18">
      <c r="A18" s="12" t="n">
        <v>2040</v>
      </c>
      <c r="B18" s="15">
        <f>F17</f>
        <v/>
      </c>
      <c r="C18" s="15">
        <f>C17*(1+'Fund Summary'!$B$7)</f>
        <v/>
      </c>
      <c r="D18" s="15" t="n">
        <v>0</v>
      </c>
      <c r="E18" s="15">
        <f>B18*'Fund Summary'!$B$8</f>
        <v/>
      </c>
      <c r="F18" s="15">
        <f>B18+C18-D18+E18</f>
        <v/>
      </c>
      <c r="G18" s="24">
        <f>C18/'Fund Summary'!$B$6/12</f>
        <v/>
      </c>
      <c r="H18" s="17">
        <f>IF(F18&lt;0,"BELOW $0","")</f>
        <v/>
      </c>
    </row>
    <row r="19">
      <c r="A19" s="12" t="n">
        <v>2041</v>
      </c>
      <c r="B19" s="15">
        <f>F18</f>
        <v/>
      </c>
      <c r="C19" s="15">
        <f>C18*(1+'Fund Summary'!$B$7)</f>
        <v/>
      </c>
      <c r="D19" s="15" t="n">
        <v>0</v>
      </c>
      <c r="E19" s="15">
        <f>B19*'Fund Summary'!$B$8</f>
        <v/>
      </c>
      <c r="F19" s="15">
        <f>B19+C19-D19+E19</f>
        <v/>
      </c>
      <c r="G19" s="24">
        <f>C19/'Fund Summary'!$B$6/12</f>
        <v/>
      </c>
      <c r="H19" s="17">
        <f>IF(F19&lt;0,"BELOW $0","")</f>
        <v/>
      </c>
    </row>
    <row r="20">
      <c r="A20" s="12" t="n">
        <v>2042</v>
      </c>
      <c r="B20" s="15">
        <f>F19</f>
        <v/>
      </c>
      <c r="C20" s="15">
        <f>C19*(1+'Fund Summary'!$B$7)</f>
        <v/>
      </c>
      <c r="D20" s="15" t="n">
        <v>47178</v>
      </c>
      <c r="E20" s="15">
        <f>B20*'Fund Summary'!$B$8</f>
        <v/>
      </c>
      <c r="F20" s="15">
        <f>B20+C20-D20+E20</f>
        <v/>
      </c>
      <c r="G20" s="24">
        <f>C20/'Fund Summary'!$B$6/12</f>
        <v/>
      </c>
      <c r="H20" s="17">
        <f>IF(F20&lt;0,"BELOW $0","")</f>
        <v/>
      </c>
    </row>
    <row r="21">
      <c r="A21" s="12" t="n">
        <v>2043</v>
      </c>
      <c r="B21" s="15">
        <f>F20</f>
        <v/>
      </c>
      <c r="C21" s="15">
        <f>C20*(1+'Fund Summary'!$B$7)</f>
        <v/>
      </c>
      <c r="D21" s="15" t="n">
        <v>0</v>
      </c>
      <c r="E21" s="15">
        <f>B21*'Fund Summary'!$B$8</f>
        <v/>
      </c>
      <c r="F21" s="15">
        <f>B21+C21-D21+E21</f>
        <v/>
      </c>
      <c r="G21" s="24">
        <f>C21/'Fund Summary'!$B$6/12</f>
        <v/>
      </c>
      <c r="H21" s="17">
        <f>IF(F21&lt;0,"BELOW $0","")</f>
        <v/>
      </c>
    </row>
    <row r="22">
      <c r="A22" s="12" t="n">
        <v>2044</v>
      </c>
      <c r="B22" s="15">
        <f>F21</f>
        <v/>
      </c>
      <c r="C22" s="15">
        <f>C21*(1+'Fund Summary'!$B$7)</f>
        <v/>
      </c>
      <c r="D22" s="15" t="n">
        <v>0</v>
      </c>
      <c r="E22" s="15">
        <f>B22*'Fund Summary'!$B$8</f>
        <v/>
      </c>
      <c r="F22" s="15">
        <f>B22+C22-D22+E22</f>
        <v/>
      </c>
      <c r="G22" s="24">
        <f>C22/'Fund Summary'!$B$6/12</f>
        <v/>
      </c>
      <c r="H22" s="17">
        <f>IF(F22&lt;0,"BELOW $0","")</f>
        <v/>
      </c>
    </row>
    <row r="23">
      <c r="A23" s="12" t="n">
        <v>2045</v>
      </c>
      <c r="B23" s="15">
        <f>F22</f>
        <v/>
      </c>
      <c r="C23" s="15">
        <f>C22*(1+'Fund Summary'!$B$7)</f>
        <v/>
      </c>
      <c r="D23" s="15" t="n">
        <v>190431</v>
      </c>
      <c r="E23" s="15">
        <f>B23*'Fund Summary'!$B$8</f>
        <v/>
      </c>
      <c r="F23" s="15">
        <f>B23+C23-D23+E23</f>
        <v/>
      </c>
      <c r="G23" s="24">
        <f>C23/'Fund Summary'!$B$6/12</f>
        <v/>
      </c>
      <c r="H23" s="17">
        <f>IF(F23&lt;0,"BELOW $0","")</f>
        <v/>
      </c>
    </row>
    <row r="24">
      <c r="A24" s="12" t="n">
        <v>2046</v>
      </c>
      <c r="B24" s="15">
        <f>F23</f>
        <v/>
      </c>
      <c r="C24" s="15">
        <f>C23*(1+'Fund Summary'!$B$7)</f>
        <v/>
      </c>
      <c r="D24" s="15" t="n">
        <v>0</v>
      </c>
      <c r="E24" s="15">
        <f>B24*'Fund Summary'!$B$8</f>
        <v/>
      </c>
      <c r="F24" s="15">
        <f>B24+C24-D24+E24</f>
        <v/>
      </c>
      <c r="G24" s="24">
        <f>C24/'Fund Summary'!$B$6/12</f>
        <v/>
      </c>
      <c r="H24" s="17">
        <f>IF(F24&lt;0,"BELOW $0","")</f>
        <v/>
      </c>
    </row>
    <row r="25">
      <c r="A25" s="12" t="n">
        <v>2047</v>
      </c>
      <c r="B25" s="15">
        <f>F24</f>
        <v/>
      </c>
      <c r="C25" s="15">
        <f>C24*(1+'Fund Summary'!$B$7)</f>
        <v/>
      </c>
      <c r="D25" s="15" t="n">
        <v>0</v>
      </c>
      <c r="E25" s="15">
        <f>B25*'Fund Summary'!$B$8</f>
        <v/>
      </c>
      <c r="F25" s="15">
        <f>B25+C25-D25+E25</f>
        <v/>
      </c>
      <c r="G25" s="24">
        <f>C25/'Fund Summary'!$B$6/12</f>
        <v/>
      </c>
      <c r="H25" s="17">
        <f>IF(F25&lt;0,"BELOW $0","")</f>
        <v/>
      </c>
    </row>
    <row r="26">
      <c r="A26" s="12" t="n">
        <v>2048</v>
      </c>
      <c r="B26" s="15">
        <f>F25</f>
        <v/>
      </c>
      <c r="C26" s="15">
        <f>C25*(1+'Fund Summary'!$B$7)</f>
        <v/>
      </c>
      <c r="D26" s="15" t="n">
        <v>0</v>
      </c>
      <c r="E26" s="15">
        <f>B26*'Fund Summary'!$B$8</f>
        <v/>
      </c>
      <c r="F26" s="15">
        <f>B26+C26-D26+E26</f>
        <v/>
      </c>
      <c r="G26" s="24">
        <f>C26/'Fund Summary'!$B$6/12</f>
        <v/>
      </c>
      <c r="H26" s="17">
        <f>IF(F26&lt;0,"BELOW $0","")</f>
        <v/>
      </c>
    </row>
    <row r="27">
      <c r="A27" s="12" t="n">
        <v>2049</v>
      </c>
      <c r="B27" s="15">
        <f>F26</f>
        <v/>
      </c>
      <c r="C27" s="15">
        <f>C26*(1+'Fund Summary'!$B$7)</f>
        <v/>
      </c>
      <c r="D27" s="15" t="n">
        <v>3318106</v>
      </c>
      <c r="E27" s="15">
        <f>B27*'Fund Summary'!$B$8</f>
        <v/>
      </c>
      <c r="F27" s="15">
        <f>B27+C27-D27+E27</f>
        <v/>
      </c>
      <c r="G27" s="24">
        <f>C27/'Fund Summary'!$B$6/12</f>
        <v/>
      </c>
      <c r="H27" s="17">
        <f>IF(F27&lt;0,"BELOW $0","")</f>
        <v/>
      </c>
    </row>
    <row r="28">
      <c r="A28" s="12" t="n">
        <v>2050</v>
      </c>
      <c r="B28" s="15">
        <f>F27</f>
        <v/>
      </c>
      <c r="C28" s="15">
        <f>C27*(1+'Fund Summary'!$B$7)</f>
        <v/>
      </c>
      <c r="D28" s="15" t="n">
        <v>0</v>
      </c>
      <c r="E28" s="15">
        <f>B28*'Fund Summary'!$B$8</f>
        <v/>
      </c>
      <c r="F28" s="15">
        <f>B28+C28-D28+E28</f>
        <v/>
      </c>
      <c r="G28" s="24">
        <f>C28/'Fund Summary'!$B$6/12</f>
        <v/>
      </c>
      <c r="H28" s="17">
        <f>IF(F28&lt;0,"BELOW $0","")</f>
        <v/>
      </c>
    </row>
    <row r="29">
      <c r="A29" s="14" t="inlineStr">
        <is>
          <t>TOTAL</t>
        </is>
      </c>
      <c r="C29" s="8">
        <f>SUM(C5:C28)</f>
        <v/>
      </c>
      <c r="D29" s="8">
        <f>SUM(D5:D28)</f>
        <v/>
      </c>
      <c r="E29" s="8">
        <f>SUM(E5:E28)</f>
        <v/>
      </c>
    </row>
  </sheetData>
  <conditionalFormatting sqref="F5:F28">
    <cfRule type="expression" priority="1" dxfId="0">
      <formula>F5&lt;0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J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8" customWidth="1" min="4" max="4"/>
    <col width="16" customWidth="1" min="5" max="5"/>
    <col width="18" customWidth="1" min="6" max="6"/>
    <col width="18" customWidth="1" min="7" max="7"/>
    <col width="16" customWidth="1" min="8" max="8"/>
    <col width="26" customWidth="1" min="10" max="10"/>
  </cols>
  <sheetData>
    <row r="1">
      <c r="A1" s="1" t="inlineStr">
        <is>
          <t>Scarborough Glen Condo Association IV — Operating Reserve</t>
        </is>
      </c>
      <c r="J1" s="6" t="inlineStr">
        <is>
          <t>Floor (from Fund Summary):</t>
        </is>
      </c>
    </row>
    <row r="2">
      <c r="A2" s="6" t="inlineStr">
        <is>
          <t>All inputs are set on the Fund Summary sheet. This tab is calculated.</t>
        </is>
      </c>
      <c r="J2" s="23">
        <f>'Fund Summary'!$B$14</f>
        <v/>
      </c>
    </row>
    <row r="4">
      <c r="A4" s="11" t="inlineStr">
        <is>
          <t>Year</t>
        </is>
      </c>
      <c r="B4" s="11" t="inlineStr">
        <is>
          <t>Opening Balance</t>
        </is>
      </c>
      <c r="C4" s="11" t="inlineStr">
        <is>
          <t>Annual Contribution</t>
        </is>
      </c>
      <c r="D4" s="11" t="inlineStr">
        <is>
          <t>Disbursement</t>
        </is>
      </c>
      <c r="E4" s="11" t="inlineStr">
        <is>
          <t>Interest Earned</t>
        </is>
      </c>
      <c r="F4" s="11" t="inlineStr">
        <is>
          <t>Closing Balance</t>
        </is>
      </c>
      <c r="G4" s="11" t="inlineStr">
        <is>
          <t>Monthly Cost/Unit</t>
        </is>
      </c>
      <c r="H4" s="11" t="inlineStr">
        <is>
          <t>Status</t>
        </is>
      </c>
    </row>
    <row r="5">
      <c r="A5" s="12" t="n">
        <v>2027</v>
      </c>
      <c r="B5" s="15">
        <f>'Fund Summary'!$D$14</f>
        <v/>
      </c>
      <c r="C5" s="15">
        <f>IF('Fund Summary'!$D$14&gt;='Fund Summary'!$B$14,0,'Fund Summary'!$C$14)</f>
        <v/>
      </c>
      <c r="D5" s="15" t="n">
        <v>0</v>
      </c>
      <c r="E5" s="15">
        <f>B5*'Fund Summary'!$B$8</f>
        <v/>
      </c>
      <c r="F5" s="15">
        <f>B5+C5-D5+E5</f>
        <v/>
      </c>
      <c r="G5" s="24">
        <f>C5/'Fund Summary'!$B$6/12</f>
        <v/>
      </c>
      <c r="H5" s="17">
        <f>IF(F5&lt;'Fund Summary'!$B$14,"BELOW FLOOR","")</f>
        <v/>
      </c>
    </row>
    <row r="6">
      <c r="A6" s="12" t="n">
        <v>2028</v>
      </c>
      <c r="B6" s="15">
        <f>F5</f>
        <v/>
      </c>
      <c r="C6" s="15">
        <f>IF(F5&gt;='Fund Summary'!$B$14,0,'Fund Summary'!$C$14*(1+'Fund Summary'!$B$7)^1)</f>
        <v/>
      </c>
      <c r="D6" s="15" t="n">
        <v>0</v>
      </c>
      <c r="E6" s="15">
        <f>B6*'Fund Summary'!$B$8</f>
        <v/>
      </c>
      <c r="F6" s="15">
        <f>B6+C6-D6+E6</f>
        <v/>
      </c>
      <c r="G6" s="24">
        <f>C6/'Fund Summary'!$B$6/12</f>
        <v/>
      </c>
      <c r="H6" s="17">
        <f>IF(F6&lt;'Fund Summary'!$B$14,"BELOW FLOOR","")</f>
        <v/>
      </c>
    </row>
    <row r="7">
      <c r="A7" s="12" t="n">
        <v>2029</v>
      </c>
      <c r="B7" s="15">
        <f>F6</f>
        <v/>
      </c>
      <c r="C7" s="15">
        <f>IF(F6&gt;='Fund Summary'!$B$14,0,'Fund Summary'!$C$14*(1+'Fund Summary'!$B$7)^2)</f>
        <v/>
      </c>
      <c r="D7" s="15" t="n">
        <v>0</v>
      </c>
      <c r="E7" s="15">
        <f>B7*'Fund Summary'!$B$8</f>
        <v/>
      </c>
      <c r="F7" s="15">
        <f>B7+C7-D7+E7</f>
        <v/>
      </c>
      <c r="G7" s="24">
        <f>C7/'Fund Summary'!$B$6/12</f>
        <v/>
      </c>
      <c r="H7" s="17">
        <f>IF(F7&lt;'Fund Summary'!$B$14,"BELOW FLOOR","")</f>
        <v/>
      </c>
    </row>
    <row r="8">
      <c r="A8" s="12" t="n">
        <v>2030</v>
      </c>
      <c r="B8" s="15">
        <f>F7</f>
        <v/>
      </c>
      <c r="C8" s="15">
        <f>IF(F7&gt;='Fund Summary'!$B$14,0,'Fund Summary'!$C$14*(1+'Fund Summary'!$B$7)^3)</f>
        <v/>
      </c>
      <c r="D8" s="15" t="n">
        <v>0</v>
      </c>
      <c r="E8" s="15">
        <f>B8*'Fund Summary'!$B$8</f>
        <v/>
      </c>
      <c r="F8" s="15">
        <f>B8+C8-D8+E8</f>
        <v/>
      </c>
      <c r="G8" s="24">
        <f>C8/'Fund Summary'!$B$6/12</f>
        <v/>
      </c>
      <c r="H8" s="17">
        <f>IF(F8&lt;'Fund Summary'!$B$14,"BELOW FLOOR","")</f>
        <v/>
      </c>
    </row>
    <row r="9">
      <c r="A9" s="12" t="n">
        <v>2031</v>
      </c>
      <c r="B9" s="15">
        <f>F8</f>
        <v/>
      </c>
      <c r="C9" s="15">
        <f>IF(F8&gt;='Fund Summary'!$B$14,0,'Fund Summary'!$C$14*(1+'Fund Summary'!$B$7)^4)</f>
        <v/>
      </c>
      <c r="D9" s="15" t="n">
        <v>0</v>
      </c>
      <c r="E9" s="15">
        <f>B9*'Fund Summary'!$B$8</f>
        <v/>
      </c>
      <c r="F9" s="15">
        <f>B9+C9-D9+E9</f>
        <v/>
      </c>
      <c r="G9" s="24">
        <f>C9/'Fund Summary'!$B$6/12</f>
        <v/>
      </c>
      <c r="H9" s="17">
        <f>IF(F9&lt;'Fund Summary'!$B$14,"BELOW FLOOR","")</f>
        <v/>
      </c>
    </row>
    <row r="10">
      <c r="A10" s="12" t="n">
        <v>2032</v>
      </c>
      <c r="B10" s="15">
        <f>F9</f>
        <v/>
      </c>
      <c r="C10" s="15">
        <f>IF(F9&gt;='Fund Summary'!$B$14,0,'Fund Summary'!$C$14*(1+'Fund Summary'!$B$7)^5)</f>
        <v/>
      </c>
      <c r="D10" s="15" t="n">
        <v>0</v>
      </c>
      <c r="E10" s="15">
        <f>B10*'Fund Summary'!$B$8</f>
        <v/>
      </c>
      <c r="F10" s="15">
        <f>B10+C10-D10+E10</f>
        <v/>
      </c>
      <c r="G10" s="24">
        <f>C10/'Fund Summary'!$B$6/12</f>
        <v/>
      </c>
      <c r="H10" s="17">
        <f>IF(F10&lt;'Fund Summary'!$B$14,"BELOW FLOOR","")</f>
        <v/>
      </c>
    </row>
    <row r="11">
      <c r="A11" s="12" t="n">
        <v>2033</v>
      </c>
      <c r="B11" s="15">
        <f>F10</f>
        <v/>
      </c>
      <c r="C11" s="15">
        <f>IF(F10&gt;='Fund Summary'!$B$14,0,'Fund Summary'!$C$14*(1+'Fund Summary'!$B$7)^6)</f>
        <v/>
      </c>
      <c r="D11" s="15" t="n">
        <v>0</v>
      </c>
      <c r="E11" s="15">
        <f>B11*'Fund Summary'!$B$8</f>
        <v/>
      </c>
      <c r="F11" s="15">
        <f>B11+C11-D11+E11</f>
        <v/>
      </c>
      <c r="G11" s="24">
        <f>C11/'Fund Summary'!$B$6/12</f>
        <v/>
      </c>
      <c r="H11" s="17">
        <f>IF(F11&lt;'Fund Summary'!$B$14,"BELOW FLOOR","")</f>
        <v/>
      </c>
    </row>
    <row r="12">
      <c r="A12" s="12" t="n">
        <v>2034</v>
      </c>
      <c r="B12" s="15">
        <f>F11</f>
        <v/>
      </c>
      <c r="C12" s="15">
        <f>IF(F11&gt;='Fund Summary'!$B$14,0,'Fund Summary'!$C$14*(1+'Fund Summary'!$B$7)^7)</f>
        <v/>
      </c>
      <c r="D12" s="15" t="n">
        <v>0</v>
      </c>
      <c r="E12" s="15">
        <f>B12*'Fund Summary'!$B$8</f>
        <v/>
      </c>
      <c r="F12" s="15">
        <f>B12+C12-D12+E12</f>
        <v/>
      </c>
      <c r="G12" s="24">
        <f>C12/'Fund Summary'!$B$6/12</f>
        <v/>
      </c>
      <c r="H12" s="17">
        <f>IF(F12&lt;'Fund Summary'!$B$14,"BELOW FLOOR","")</f>
        <v/>
      </c>
    </row>
    <row r="13">
      <c r="A13" s="12" t="n">
        <v>2035</v>
      </c>
      <c r="B13" s="15">
        <f>F12</f>
        <v/>
      </c>
      <c r="C13" s="15">
        <f>IF(F12&gt;='Fund Summary'!$B$14,0,'Fund Summary'!$C$14*(1+'Fund Summary'!$B$7)^8)</f>
        <v/>
      </c>
      <c r="D13" s="15" t="n">
        <v>0</v>
      </c>
      <c r="E13" s="15">
        <f>B13*'Fund Summary'!$B$8</f>
        <v/>
      </c>
      <c r="F13" s="15">
        <f>B13+C13-D13+E13</f>
        <v/>
      </c>
      <c r="G13" s="24">
        <f>C13/'Fund Summary'!$B$6/12</f>
        <v/>
      </c>
      <c r="H13" s="17">
        <f>IF(F13&lt;'Fund Summary'!$B$14,"BELOW FLOOR","")</f>
        <v/>
      </c>
    </row>
    <row r="14">
      <c r="A14" s="12" t="n">
        <v>2036</v>
      </c>
      <c r="B14" s="15">
        <f>F13</f>
        <v/>
      </c>
      <c r="C14" s="15">
        <f>IF(F13&gt;='Fund Summary'!$B$14,0,'Fund Summary'!$C$14*(1+'Fund Summary'!$B$7)^9)</f>
        <v/>
      </c>
      <c r="D14" s="15" t="n">
        <v>0</v>
      </c>
      <c r="E14" s="15">
        <f>B14*'Fund Summary'!$B$8</f>
        <v/>
      </c>
      <c r="F14" s="15">
        <f>B14+C14-D14+E14</f>
        <v/>
      </c>
      <c r="G14" s="24">
        <f>C14/'Fund Summary'!$B$6/12</f>
        <v/>
      </c>
      <c r="H14" s="17">
        <f>IF(F14&lt;'Fund Summary'!$B$14,"BELOW FLOOR","")</f>
        <v/>
      </c>
    </row>
    <row r="15">
      <c r="A15" s="12" t="n">
        <v>2037</v>
      </c>
      <c r="B15" s="15">
        <f>F14</f>
        <v/>
      </c>
      <c r="C15" s="15">
        <f>IF(F14&gt;='Fund Summary'!$B$14,0,'Fund Summary'!$C$14*(1+'Fund Summary'!$B$7)^10)</f>
        <v/>
      </c>
      <c r="D15" s="15" t="n">
        <v>0</v>
      </c>
      <c r="E15" s="15">
        <f>B15*'Fund Summary'!$B$8</f>
        <v/>
      </c>
      <c r="F15" s="15">
        <f>B15+C15-D15+E15</f>
        <v/>
      </c>
      <c r="G15" s="24">
        <f>C15/'Fund Summary'!$B$6/12</f>
        <v/>
      </c>
      <c r="H15" s="17">
        <f>IF(F15&lt;'Fund Summary'!$B$14,"BELOW FLOOR","")</f>
        <v/>
      </c>
    </row>
    <row r="16">
      <c r="A16" s="12" t="n">
        <v>2038</v>
      </c>
      <c r="B16" s="15">
        <f>F15</f>
        <v/>
      </c>
      <c r="C16" s="15">
        <f>IF(F15&gt;='Fund Summary'!$B$14,0,'Fund Summary'!$C$14*(1+'Fund Summary'!$B$7)^11)</f>
        <v/>
      </c>
      <c r="D16" s="15" t="n">
        <v>0</v>
      </c>
      <c r="E16" s="15">
        <f>B16*'Fund Summary'!$B$8</f>
        <v/>
      </c>
      <c r="F16" s="15">
        <f>B16+C16-D16+E16</f>
        <v/>
      </c>
      <c r="G16" s="24">
        <f>C16/'Fund Summary'!$B$6/12</f>
        <v/>
      </c>
      <c r="H16" s="17">
        <f>IF(F16&lt;'Fund Summary'!$B$14,"BELOW FLOOR","")</f>
        <v/>
      </c>
    </row>
    <row r="17">
      <c r="A17" s="12" t="n">
        <v>2039</v>
      </c>
      <c r="B17" s="15">
        <f>F16</f>
        <v/>
      </c>
      <c r="C17" s="15">
        <f>IF(F16&gt;='Fund Summary'!$B$14,0,'Fund Summary'!$C$14*(1+'Fund Summary'!$B$7)^12)</f>
        <v/>
      </c>
      <c r="D17" s="15" t="n">
        <v>0</v>
      </c>
      <c r="E17" s="15">
        <f>B17*'Fund Summary'!$B$8</f>
        <v/>
      </c>
      <c r="F17" s="15">
        <f>B17+C17-D17+E17</f>
        <v/>
      </c>
      <c r="G17" s="24">
        <f>C17/'Fund Summary'!$B$6/12</f>
        <v/>
      </c>
      <c r="H17" s="17">
        <f>IF(F17&lt;'Fund Summary'!$B$14,"BELOW FLOOR","")</f>
        <v/>
      </c>
    </row>
    <row r="18">
      <c r="A18" s="12" t="n">
        <v>2040</v>
      </c>
      <c r="B18" s="15">
        <f>F17</f>
        <v/>
      </c>
      <c r="C18" s="15">
        <f>IF(F17&gt;='Fund Summary'!$B$14,0,'Fund Summary'!$C$14*(1+'Fund Summary'!$B$7)^13)</f>
        <v/>
      </c>
      <c r="D18" s="15" t="n">
        <v>0</v>
      </c>
      <c r="E18" s="15">
        <f>B18*'Fund Summary'!$B$8</f>
        <v/>
      </c>
      <c r="F18" s="15">
        <f>B18+C18-D18+E18</f>
        <v/>
      </c>
      <c r="G18" s="24">
        <f>C18/'Fund Summary'!$B$6/12</f>
        <v/>
      </c>
      <c r="H18" s="17">
        <f>IF(F18&lt;'Fund Summary'!$B$14,"BELOW FLOOR","")</f>
        <v/>
      </c>
    </row>
    <row r="19">
      <c r="A19" s="12" t="n">
        <v>2041</v>
      </c>
      <c r="B19" s="15">
        <f>F18</f>
        <v/>
      </c>
      <c r="C19" s="15">
        <f>IF(F18&gt;='Fund Summary'!$B$14,0,'Fund Summary'!$C$14*(1+'Fund Summary'!$B$7)^14)</f>
        <v/>
      </c>
      <c r="D19" s="15" t="n">
        <v>0</v>
      </c>
      <c r="E19" s="15">
        <f>B19*'Fund Summary'!$B$8</f>
        <v/>
      </c>
      <c r="F19" s="15">
        <f>B19+C19-D19+E19</f>
        <v/>
      </c>
      <c r="G19" s="24">
        <f>C19/'Fund Summary'!$B$6/12</f>
        <v/>
      </c>
      <c r="H19" s="17">
        <f>IF(F19&lt;'Fund Summary'!$B$14,"BELOW FLOOR","")</f>
        <v/>
      </c>
    </row>
    <row r="20">
      <c r="A20" s="12" t="n">
        <v>2042</v>
      </c>
      <c r="B20" s="15">
        <f>F19</f>
        <v/>
      </c>
      <c r="C20" s="15">
        <f>IF(F19&gt;='Fund Summary'!$B$14,0,'Fund Summary'!$C$14*(1+'Fund Summary'!$B$7)^15)</f>
        <v/>
      </c>
      <c r="D20" s="15" t="n">
        <v>0</v>
      </c>
      <c r="E20" s="15">
        <f>B20*'Fund Summary'!$B$8</f>
        <v/>
      </c>
      <c r="F20" s="15">
        <f>B20+C20-D20+E20</f>
        <v/>
      </c>
      <c r="G20" s="24">
        <f>C20/'Fund Summary'!$B$6/12</f>
        <v/>
      </c>
      <c r="H20" s="17">
        <f>IF(F20&lt;'Fund Summary'!$B$14,"BELOW FLOOR","")</f>
        <v/>
      </c>
    </row>
    <row r="21">
      <c r="A21" s="12" t="n">
        <v>2043</v>
      </c>
      <c r="B21" s="15">
        <f>F20</f>
        <v/>
      </c>
      <c r="C21" s="15">
        <f>IF(F20&gt;='Fund Summary'!$B$14,0,'Fund Summary'!$C$14*(1+'Fund Summary'!$B$7)^16)</f>
        <v/>
      </c>
      <c r="D21" s="15" t="n">
        <v>0</v>
      </c>
      <c r="E21" s="15">
        <f>B21*'Fund Summary'!$B$8</f>
        <v/>
      </c>
      <c r="F21" s="15">
        <f>B21+C21-D21+E21</f>
        <v/>
      </c>
      <c r="G21" s="24">
        <f>C21/'Fund Summary'!$B$6/12</f>
        <v/>
      </c>
      <c r="H21" s="17">
        <f>IF(F21&lt;'Fund Summary'!$B$14,"BELOW FLOOR","")</f>
        <v/>
      </c>
    </row>
    <row r="22">
      <c r="A22" s="12" t="n">
        <v>2044</v>
      </c>
      <c r="B22" s="15">
        <f>F21</f>
        <v/>
      </c>
      <c r="C22" s="15">
        <f>IF(F21&gt;='Fund Summary'!$B$14,0,'Fund Summary'!$C$14*(1+'Fund Summary'!$B$7)^17)</f>
        <v/>
      </c>
      <c r="D22" s="15" t="n">
        <v>0</v>
      </c>
      <c r="E22" s="15">
        <f>B22*'Fund Summary'!$B$8</f>
        <v/>
      </c>
      <c r="F22" s="15">
        <f>B22+C22-D22+E22</f>
        <v/>
      </c>
      <c r="G22" s="24">
        <f>C22/'Fund Summary'!$B$6/12</f>
        <v/>
      </c>
      <c r="H22" s="17">
        <f>IF(F22&lt;'Fund Summary'!$B$14,"BELOW FLOOR","")</f>
        <v/>
      </c>
    </row>
    <row r="23">
      <c r="A23" s="12" t="n">
        <v>2045</v>
      </c>
      <c r="B23" s="15">
        <f>F22</f>
        <v/>
      </c>
      <c r="C23" s="15">
        <f>IF(F22&gt;='Fund Summary'!$B$14,0,'Fund Summary'!$C$14*(1+'Fund Summary'!$B$7)^18)</f>
        <v/>
      </c>
      <c r="D23" s="15" t="n">
        <v>0</v>
      </c>
      <c r="E23" s="15">
        <f>B23*'Fund Summary'!$B$8</f>
        <v/>
      </c>
      <c r="F23" s="15">
        <f>B23+C23-D23+E23</f>
        <v/>
      </c>
      <c r="G23" s="24">
        <f>C23/'Fund Summary'!$B$6/12</f>
        <v/>
      </c>
      <c r="H23" s="17">
        <f>IF(F23&lt;'Fund Summary'!$B$14,"BELOW FLOOR","")</f>
        <v/>
      </c>
    </row>
    <row r="24">
      <c r="A24" s="12" t="n">
        <v>2046</v>
      </c>
      <c r="B24" s="15">
        <f>F23</f>
        <v/>
      </c>
      <c r="C24" s="15">
        <f>IF(F23&gt;='Fund Summary'!$B$14,0,'Fund Summary'!$C$14*(1+'Fund Summary'!$B$7)^19)</f>
        <v/>
      </c>
      <c r="D24" s="15" t="n">
        <v>0</v>
      </c>
      <c r="E24" s="15">
        <f>B24*'Fund Summary'!$B$8</f>
        <v/>
      </c>
      <c r="F24" s="15">
        <f>B24+C24-D24+E24</f>
        <v/>
      </c>
      <c r="G24" s="24">
        <f>C24/'Fund Summary'!$B$6/12</f>
        <v/>
      </c>
      <c r="H24" s="17">
        <f>IF(F24&lt;'Fund Summary'!$B$14,"BELOW FLOOR","")</f>
        <v/>
      </c>
    </row>
    <row r="25">
      <c r="A25" s="12" t="n">
        <v>2047</v>
      </c>
      <c r="B25" s="15">
        <f>F24</f>
        <v/>
      </c>
      <c r="C25" s="15">
        <f>IF(F24&gt;='Fund Summary'!$B$14,0,'Fund Summary'!$C$14*(1+'Fund Summary'!$B$7)^20)</f>
        <v/>
      </c>
      <c r="D25" s="15" t="n">
        <v>0</v>
      </c>
      <c r="E25" s="15">
        <f>B25*'Fund Summary'!$B$8</f>
        <v/>
      </c>
      <c r="F25" s="15">
        <f>B25+C25-D25+E25</f>
        <v/>
      </c>
      <c r="G25" s="24">
        <f>C25/'Fund Summary'!$B$6/12</f>
        <v/>
      </c>
      <c r="H25" s="17">
        <f>IF(F25&lt;'Fund Summary'!$B$14,"BELOW FLOOR","")</f>
        <v/>
      </c>
    </row>
    <row r="26">
      <c r="A26" s="12" t="n">
        <v>2048</v>
      </c>
      <c r="B26" s="15">
        <f>F25</f>
        <v/>
      </c>
      <c r="C26" s="15">
        <f>IF(F25&gt;='Fund Summary'!$B$14,0,'Fund Summary'!$C$14*(1+'Fund Summary'!$B$7)^21)</f>
        <v/>
      </c>
      <c r="D26" s="15" t="n">
        <v>0</v>
      </c>
      <c r="E26" s="15">
        <f>B26*'Fund Summary'!$B$8</f>
        <v/>
      </c>
      <c r="F26" s="15">
        <f>B26+C26-D26+E26</f>
        <v/>
      </c>
      <c r="G26" s="24">
        <f>C26/'Fund Summary'!$B$6/12</f>
        <v/>
      </c>
      <c r="H26" s="17">
        <f>IF(F26&lt;'Fund Summary'!$B$14,"BELOW FLOOR","")</f>
        <v/>
      </c>
    </row>
    <row r="27">
      <c r="A27" s="12" t="n">
        <v>2049</v>
      </c>
      <c r="B27" s="15">
        <f>F26</f>
        <v/>
      </c>
      <c r="C27" s="15">
        <f>IF(F26&gt;='Fund Summary'!$B$14,0,'Fund Summary'!$C$14*(1+'Fund Summary'!$B$7)^22)</f>
        <v/>
      </c>
      <c r="D27" s="15" t="n">
        <v>0</v>
      </c>
      <c r="E27" s="15">
        <f>B27*'Fund Summary'!$B$8</f>
        <v/>
      </c>
      <c r="F27" s="15">
        <f>B27+C27-D27+E27</f>
        <v/>
      </c>
      <c r="G27" s="24">
        <f>C27/'Fund Summary'!$B$6/12</f>
        <v/>
      </c>
      <c r="H27" s="17">
        <f>IF(F27&lt;'Fund Summary'!$B$14,"BELOW FLOOR","")</f>
        <v/>
      </c>
    </row>
    <row r="28">
      <c r="A28" s="12" t="n">
        <v>2050</v>
      </c>
      <c r="B28" s="15">
        <f>F27</f>
        <v/>
      </c>
      <c r="C28" s="15">
        <f>IF(F27&gt;='Fund Summary'!$B$14,0,'Fund Summary'!$C$14*(1+'Fund Summary'!$B$7)^23)</f>
        <v/>
      </c>
      <c r="D28" s="15" t="n">
        <v>0</v>
      </c>
      <c r="E28" s="15">
        <f>B28*'Fund Summary'!$B$8</f>
        <v/>
      </c>
      <c r="F28" s="15">
        <f>B28+C28-D28+E28</f>
        <v/>
      </c>
      <c r="G28" s="24">
        <f>C28/'Fund Summary'!$B$6/12</f>
        <v/>
      </c>
      <c r="H28" s="17">
        <f>IF(F28&lt;'Fund Summary'!$B$14,"BELOW FLOOR","")</f>
        <v/>
      </c>
    </row>
    <row r="29">
      <c r="A29" s="14" t="inlineStr">
        <is>
          <t>TOTAL</t>
        </is>
      </c>
      <c r="C29" s="8">
        <f>SUM(C5:C28)</f>
        <v/>
      </c>
      <c r="D29" s="8">
        <f>SUM(D5:D28)</f>
        <v/>
      </c>
      <c r="E29" s="8">
        <f>SUM(E5:E28)</f>
        <v/>
      </c>
    </row>
  </sheetData>
  <conditionalFormatting sqref="F5:F28">
    <cfRule type="expression" priority="1" dxfId="0">
      <formula>F5&lt;$J$2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4" customWidth="1" min="3" max="3"/>
    <col width="22" customWidth="1" min="4" max="4"/>
    <col width="18" customWidth="1" min="5" max="5"/>
    <col width="26" customWidth="1" min="6" max="6"/>
  </cols>
  <sheetData>
    <row r="1">
      <c r="A1" s="1" t="inlineStr">
        <is>
          <t>Scarborough Glen Condo Association IV — Component Detail</t>
        </is>
      </c>
    </row>
    <row r="2">
      <c r="A2" s="6" t="inlineStr">
        <is>
          <t>All costs from Becht Engineering Capital Reserve Study (2026)</t>
        </is>
      </c>
    </row>
    <row r="4">
      <c r="A4" s="11" t="inlineStr">
        <is>
          <t>Component</t>
        </is>
      </c>
      <c r="B4" s="11" t="inlineStr">
        <is>
          <t>Becht Community Total</t>
        </is>
      </c>
      <c r="C4" s="11" t="inlineStr">
        <is>
          <t>Entity Share %</t>
        </is>
      </c>
      <c r="D4" s="11" t="inlineStr">
        <is>
          <t>Entity Allocated Cost</t>
        </is>
      </c>
      <c r="E4" s="11" t="inlineStr">
        <is>
          <t>Replacement Year</t>
        </is>
      </c>
      <c r="F4" s="11" t="inlineStr">
        <is>
          <t>Inflated Cost at Replacement</t>
        </is>
      </c>
    </row>
    <row r="5">
      <c r="A5" s="12" t="inlineStr">
        <is>
          <t>Siding, Vinyl (Condo IV share)</t>
        </is>
      </c>
      <c r="B5" s="25" t="n">
        <v>1800000</v>
      </c>
      <c r="C5" s="26" t="n">
        <v>0.9177</v>
      </c>
      <c r="D5" s="25" t="n">
        <v>1651860</v>
      </c>
      <c r="E5" s="12" t="n">
        <v>2049</v>
      </c>
      <c r="F5" s="25" t="n">
        <v>3260083</v>
      </c>
    </row>
    <row r="6">
      <c r="A6" s="12" t="inlineStr">
        <is>
          <t>Roof, Shingles - Townhouses (Condo IV share)</t>
        </is>
      </c>
      <c r="B6" s="25" t="n">
        <v>1150988</v>
      </c>
      <c r="C6" s="26" t="n">
        <v>0.7645999999999999</v>
      </c>
      <c r="D6" s="25" t="n">
        <v>880045</v>
      </c>
      <c r="E6" s="12" t="n">
        <v>2050</v>
      </c>
      <c r="F6" s="12" t="inlineStr">
        <is>
          <t>Beyond plan horizon</t>
        </is>
      </c>
    </row>
    <row r="7">
      <c r="A7" s="12" t="inlineStr">
        <is>
          <t>Deck Framing &amp; Footings, Wood (Condo IV share)</t>
        </is>
      </c>
      <c r="B7" s="25" t="n">
        <v>440000</v>
      </c>
      <c r="C7" s="26" t="n">
        <v>0.3679</v>
      </c>
      <c r="D7" s="25" t="n">
        <v>149760</v>
      </c>
      <c r="E7" s="12" t="n">
        <v>2033</v>
      </c>
      <c r="F7" s="25" t="n">
        <v>184186</v>
      </c>
    </row>
    <row r="8">
      <c r="A8" s="12" t="inlineStr">
        <is>
          <t>Deck Boards (surface), Wood (Condo IV share)</t>
        </is>
      </c>
      <c r="B8" s="25" t="n">
        <v>440000</v>
      </c>
      <c r="C8" s="26" t="n">
        <v>0.3679</v>
      </c>
      <c r="D8" s="25" t="n">
        <v>131040</v>
      </c>
      <c r="E8" s="12" t="n">
        <v>2033</v>
      </c>
      <c r="F8" s="25" t="n">
        <v>161163</v>
      </c>
    </row>
    <row r="9">
      <c r="A9" s="12" t="inlineStr">
        <is>
          <t>Deck Railings &amp; Balusters, Wood (Condo IV share) (safety)</t>
        </is>
      </c>
      <c r="B9" s="25" t="n">
        <v>440000</v>
      </c>
      <c r="C9" s="26" t="n">
        <v>0.3679</v>
      </c>
      <c r="D9" s="25" t="n">
        <v>93600</v>
      </c>
      <c r="E9" s="12" t="n">
        <v>2033</v>
      </c>
      <c r="F9" s="25" t="n">
        <v>115116</v>
      </c>
    </row>
    <row r="10">
      <c r="A10" s="12" t="inlineStr">
        <is>
          <t>Deck Railings — 2027 remaining replacements (5 rails)</t>
        </is>
      </c>
      <c r="B10" s="25" t="n"/>
      <c r="C10" s="26" t="n">
        <v>1</v>
      </c>
      <c r="D10" s="25" t="n">
        <v>22500</v>
      </c>
      <c r="E10" s="12" t="n">
        <v>2027</v>
      </c>
      <c r="F10" s="25" t="n">
        <v>23175</v>
      </c>
    </row>
    <row r="11">
      <c r="A11" s="12" t="inlineStr">
        <is>
          <t>Deck Replacement, Composite (Condo IV share)</t>
        </is>
      </c>
      <c r="B11" s="25" t="n">
        <v>360000</v>
      </c>
      <c r="C11" s="26" t="n">
        <v>0.3679</v>
      </c>
      <c r="D11" s="25" t="n">
        <v>132444</v>
      </c>
      <c r="E11" s="12" t="inlineStr">
        <is>
          <t>2053 (beyond plan)</t>
        </is>
      </c>
      <c r="F11" s="12" t="inlineStr">
        <is>
          <t>Beyond plan horizon</t>
        </is>
      </c>
    </row>
    <row r="12">
      <c r="A12" s="12" t="inlineStr">
        <is>
          <t>Chimney Chase Covers (Condo IV share)</t>
        </is>
      </c>
      <c r="B12" s="25" t="n">
        <v>178800</v>
      </c>
      <c r="C12" s="26" t="n">
        <v>0.7</v>
      </c>
      <c r="D12" s="25" t="n">
        <v>125160</v>
      </c>
      <c r="E12" s="12" t="n">
        <v>2031</v>
      </c>
      <c r="F12" s="25" t="n">
        <v>145095</v>
      </c>
    </row>
    <row r="13">
      <c r="A13" s="12" t="inlineStr">
        <is>
          <t>Entry Stoops — Concrete Replacement</t>
        </is>
      </c>
      <c r="B13" s="25" t="n"/>
      <c r="C13" s="26" t="n">
        <v>1</v>
      </c>
      <c r="D13" s="25" t="n">
        <v>196000</v>
      </c>
      <c r="E13" s="12" t="n">
        <v>2032</v>
      </c>
      <c r="F13" s="25" t="n">
        <v>234034</v>
      </c>
    </row>
    <row r="14">
      <c r="A14" s="12" t="inlineStr">
        <is>
          <t>Entry Stoops — Leveling &amp; Stair Nosing (safety)</t>
        </is>
      </c>
      <c r="B14" s="25" t="n"/>
      <c r="C14" s="26" t="n">
        <v>1</v>
      </c>
      <c r="D14" s="25" t="n">
        <v>29400</v>
      </c>
      <c r="E14" s="12" t="n">
        <v>2028</v>
      </c>
      <c r="F14" s="25" t="n">
        <v>31190</v>
      </c>
    </row>
    <row r="15">
      <c r="A15" s="12" t="inlineStr">
        <is>
          <t>Exterior Caulk/Sealant &amp; Trim Maintenance</t>
        </is>
      </c>
      <c r="B15" s="25" t="n"/>
      <c r="C15" s="26" t="n">
        <v>1</v>
      </c>
      <c r="D15" s="25" t="n">
        <v>15000</v>
      </c>
      <c r="E15" s="12" t="n">
        <v>2027</v>
      </c>
      <c r="F15" s="25" t="n">
        <v>15450</v>
      </c>
    </row>
    <row r="16">
      <c r="A16" s="12" t="inlineStr">
        <is>
          <t>Window Wells — rebuild program, 2027 (6 wells)</t>
        </is>
      </c>
      <c r="B16" s="25" t="n"/>
      <c r="C16" s="26" t="n">
        <v>1</v>
      </c>
      <c r="D16" s="25" t="n">
        <v>48000</v>
      </c>
      <c r="E16" s="12" t="n">
        <v>2027</v>
      </c>
      <c r="F16" s="25" t="n">
        <v>49440</v>
      </c>
    </row>
    <row r="17">
      <c r="A17" s="12" t="inlineStr">
        <is>
          <t>Window Wells — rebuild program, 2028 (15 wells)</t>
        </is>
      </c>
      <c r="B17" s="25" t="n"/>
      <c r="C17" s="26" t="n">
        <v>1</v>
      </c>
      <c r="D17" s="25" t="n">
        <v>120000</v>
      </c>
      <c r="E17" s="12" t="n">
        <v>2028</v>
      </c>
      <c r="F17" s="25" t="n">
        <v>127308</v>
      </c>
    </row>
    <row r="18">
      <c r="A18" s="14" t="inlineStr">
        <is>
          <t>TOTAL</t>
        </is>
      </c>
      <c r="D18" s="8" t="n">
        <v>3594809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6" customWidth="1" min="3" max="3"/>
    <col width="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2" t="inlineStr">
        <is>
          <t>COLOR KEY</t>
        </is>
      </c>
      <c r="E1" s="2" t="inlineStr">
        <is>
          <t>CHART DATA</t>
        </is>
      </c>
    </row>
    <row r="2">
      <c r="A2" s="4" t="inlineStr">
        <is>
          <t>Color</t>
        </is>
      </c>
      <c r="B2" s="4" t="inlineStr">
        <is>
          <t>Component</t>
        </is>
      </c>
      <c r="C2" s="4" t="inlineStr">
        <is>
          <t>25-Year Total</t>
        </is>
      </c>
      <c r="E2" s="4" t="inlineStr">
        <is>
          <t>Year</t>
        </is>
      </c>
      <c r="F2" s="4" t="inlineStr">
        <is>
          <t>Chimney Chase Covers</t>
        </is>
      </c>
      <c r="G2" s="4" t="inlineStr">
        <is>
          <t>Deck Boards (surface)</t>
        </is>
      </c>
      <c r="H2" s="4" t="inlineStr">
        <is>
          <t>Deck Framing &amp; Footings</t>
        </is>
      </c>
      <c r="I2" s="4" t="inlineStr">
        <is>
          <t>Deck Railings &amp; Balusters (safety)</t>
        </is>
      </c>
      <c r="J2" s="4" t="inlineStr">
        <is>
          <t>Entry Stoops — Concrete Replacement</t>
        </is>
      </c>
      <c r="K2" s="4" t="inlineStr">
        <is>
          <t>Entry Stoops — Leveling &amp; Stair Nosing (safety)</t>
        </is>
      </c>
      <c r="L2" s="4" t="inlineStr">
        <is>
          <t>Exterior Caulk/Sealant &amp; Trim Maintenance</t>
        </is>
      </c>
      <c r="M2" s="4" t="inlineStr">
        <is>
          <t>Siding, Vinyl</t>
        </is>
      </c>
      <c r="N2" s="4" t="inlineStr">
        <is>
          <t>Window Wells (rebuild program)</t>
        </is>
      </c>
    </row>
    <row r="3">
      <c r="A3" s="27" t="n"/>
      <c r="B3" s="12" t="inlineStr">
        <is>
          <t>Chimney Chase Covers</t>
        </is>
      </c>
      <c r="C3" s="25" t="n">
        <v>145095</v>
      </c>
      <c r="E3" t="n">
        <v>2027</v>
      </c>
      <c r="I3" s="28" t="n">
        <v>23175</v>
      </c>
      <c r="L3" s="28" t="n">
        <v>15450</v>
      </c>
      <c r="N3" s="28" t="n">
        <v>49440</v>
      </c>
    </row>
    <row r="4">
      <c r="A4" s="29" t="n"/>
      <c r="B4" s="12" t="inlineStr">
        <is>
          <t>Deck Boards (surface)</t>
        </is>
      </c>
      <c r="C4" s="25" t="n">
        <v>161163</v>
      </c>
      <c r="E4" t="n">
        <v>2028</v>
      </c>
      <c r="K4" s="28" t="n">
        <v>31190</v>
      </c>
      <c r="N4" s="28" t="n">
        <v>127308</v>
      </c>
    </row>
    <row r="5">
      <c r="A5" s="30" t="n"/>
      <c r="B5" s="12" t="inlineStr">
        <is>
          <t>Deck Framing &amp; Footings</t>
        </is>
      </c>
      <c r="C5" s="25" t="n">
        <v>184186</v>
      </c>
      <c r="E5" t="n">
        <v>2031</v>
      </c>
      <c r="F5" s="28" t="n">
        <v>145095</v>
      </c>
    </row>
    <row r="6">
      <c r="A6" s="31" t="n"/>
      <c r="B6" s="12" t="inlineStr">
        <is>
          <t>Deck Railings &amp; Balusters (safety)</t>
        </is>
      </c>
      <c r="C6" s="25" t="n">
        <v>302419</v>
      </c>
      <c r="E6" t="n">
        <v>2032</v>
      </c>
      <c r="J6" s="28" t="n">
        <v>234034</v>
      </c>
    </row>
    <row r="7">
      <c r="A7" s="32" t="n"/>
      <c r="B7" s="12" t="inlineStr">
        <is>
          <t>Entry Stoops — Concrete Replacement</t>
        </is>
      </c>
      <c r="C7" s="25" t="n">
        <v>234034</v>
      </c>
      <c r="E7" t="n">
        <v>2033</v>
      </c>
      <c r="G7" s="28" t="n">
        <v>161163</v>
      </c>
      <c r="H7" s="28" t="n">
        <v>184186</v>
      </c>
      <c r="I7" s="28" t="n">
        <v>115116</v>
      </c>
      <c r="L7" s="28" t="n">
        <v>18448</v>
      </c>
    </row>
    <row r="8">
      <c r="A8" s="33" t="n"/>
      <c r="B8" s="12" t="inlineStr">
        <is>
          <t>Entry Stoops — Leveling &amp; Stair Nosing (safety)</t>
        </is>
      </c>
      <c r="C8" s="25" t="n">
        <v>174751</v>
      </c>
      <c r="E8" t="n">
        <v>2035</v>
      </c>
      <c r="K8" s="28" t="n">
        <v>38360</v>
      </c>
    </row>
    <row r="9">
      <c r="A9" s="34" t="n"/>
      <c r="B9" s="12" t="inlineStr">
        <is>
          <t>Exterior Caulk/Sealant &amp; Trim Maintenance</t>
        </is>
      </c>
      <c r="C9" s="25" t="n">
        <v>82229</v>
      </c>
      <c r="E9" t="n">
        <v>2039</v>
      </c>
      <c r="L9" s="28" t="n">
        <v>22028</v>
      </c>
    </row>
    <row r="10">
      <c r="A10" s="35" t="n"/>
      <c r="B10" s="12" t="inlineStr">
        <is>
          <t>Siding, Vinyl</t>
        </is>
      </c>
      <c r="C10" s="25" t="n">
        <v>3260083</v>
      </c>
      <c r="E10" t="n">
        <v>2042</v>
      </c>
      <c r="K10" s="28" t="n">
        <v>47178</v>
      </c>
    </row>
    <row r="11">
      <c r="A11" s="36" t="n"/>
      <c r="B11" s="12" t="inlineStr">
        <is>
          <t>Window Wells (rebuild program)</t>
        </is>
      </c>
      <c r="C11" s="25" t="n">
        <v>176748</v>
      </c>
      <c r="E11" t="n">
        <v>2045</v>
      </c>
      <c r="I11" s="28" t="n">
        <v>164128</v>
      </c>
      <c r="L11" s="28" t="n">
        <v>26303</v>
      </c>
    </row>
    <row r="12">
      <c r="E12" t="n">
        <v>2049</v>
      </c>
      <c r="K12" s="28" t="n">
        <v>58023</v>
      </c>
      <c r="M12" s="28" t="n">
        <v>3260083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2026-10-20T00:19:59Z</dcterms:created>
  <dcterms:modified xsi:type="dcterms:W3CDTF">2026-10-20T00:19:59Z</dcterms:modified>
</cp:coreProperties>
</file>