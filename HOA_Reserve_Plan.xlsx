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Reserve Schedule" sheetId="2" state="visible" r:id="rId2"/>
    <sheet name="Components" sheetId="3" state="visible" r:id="rId3"/>
    <sheet name="Expenditure Char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2F5496"/>
      <sz val="12"/>
    </font>
    <font>
      <name val="Calibri"/>
      <b val="1"/>
      <sz val="11"/>
    </font>
    <font>
      <name val="Calibri"/>
      <sz val="11"/>
    </font>
    <font>
      <name val="Calibri"/>
      <i val="1"/>
      <color rgb="00666666"/>
      <sz val="10"/>
    </font>
    <font>
      <name val="Calibri"/>
      <b val="1"/>
      <color rgb="00FFFFFF"/>
      <sz val="11"/>
    </font>
  </fonts>
  <fills count="34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2F5496"/>
        <bgColor rgb="002F5496"/>
      </patternFill>
    </fill>
    <fill>
      <patternFill patternType="solid">
        <fgColor rgb="004472C4"/>
        <bgColor rgb="004472C4"/>
      </patternFill>
    </fill>
    <fill>
      <patternFill patternType="solid">
        <fgColor rgb="00ED7D31"/>
        <bgColor rgb="00ED7D31"/>
      </patternFill>
    </fill>
    <fill>
      <patternFill patternType="solid">
        <fgColor rgb="00A5A5A5"/>
        <bgColor rgb="00A5A5A5"/>
      </patternFill>
    </fill>
    <fill>
      <patternFill patternType="solid">
        <fgColor rgb="00FFC000"/>
        <bgColor rgb="00FFC000"/>
      </patternFill>
    </fill>
    <fill>
      <patternFill patternType="solid">
        <fgColor rgb="005B9BD5"/>
        <bgColor rgb="005B9BD5"/>
      </patternFill>
    </fill>
    <fill>
      <patternFill patternType="solid">
        <fgColor rgb="0070AD47"/>
        <bgColor rgb="0070AD47"/>
      </patternFill>
    </fill>
    <fill>
      <patternFill patternType="solid">
        <fgColor rgb="00264478"/>
        <bgColor rgb="00264478"/>
      </patternFill>
    </fill>
    <fill>
      <patternFill patternType="solid">
        <fgColor rgb="009B57A0"/>
        <bgColor rgb="009B57A0"/>
      </patternFill>
    </fill>
    <fill>
      <patternFill patternType="solid">
        <fgColor rgb="00636363"/>
        <bgColor rgb="00636363"/>
      </patternFill>
    </fill>
    <fill>
      <patternFill patternType="solid">
        <fgColor rgb="00EB7E30"/>
        <bgColor rgb="00EB7E30"/>
      </patternFill>
    </fill>
    <fill>
      <patternFill patternType="solid">
        <fgColor rgb="0044546A"/>
        <bgColor rgb="0044546A"/>
      </patternFill>
    </fill>
    <fill>
      <patternFill patternType="solid">
        <fgColor rgb="00BF4B28"/>
        <bgColor rgb="00BF4B28"/>
      </patternFill>
    </fill>
    <fill>
      <patternFill patternType="solid">
        <fgColor rgb="0000B0F0"/>
        <bgColor rgb="0000B0F0"/>
      </patternFill>
    </fill>
    <fill>
      <patternFill patternType="solid">
        <fgColor rgb="0092D050"/>
        <bgColor rgb="0092D050"/>
      </patternFill>
    </fill>
    <fill>
      <patternFill patternType="solid">
        <fgColor rgb="007030A0"/>
        <bgColor rgb="007030A0"/>
      </patternFill>
    </fill>
    <fill>
      <patternFill patternType="solid">
        <fgColor rgb="00C55A11"/>
        <bgColor rgb="00C55A11"/>
      </patternFill>
    </fill>
    <fill>
      <patternFill patternType="solid">
        <fgColor rgb="002E75B6"/>
        <bgColor rgb="002E75B6"/>
      </patternFill>
    </fill>
    <fill>
      <patternFill patternType="solid">
        <fgColor rgb="00AFABAB"/>
        <bgColor rgb="00AFABAB"/>
      </patternFill>
    </fill>
    <fill>
      <patternFill patternType="solid">
        <fgColor rgb="0043682B"/>
        <bgColor rgb="0043682B"/>
      </patternFill>
    </fill>
    <fill>
      <patternFill patternType="solid">
        <fgColor rgb="00D63384"/>
        <bgColor rgb="00D63384"/>
      </patternFill>
    </fill>
    <fill>
      <patternFill patternType="solid">
        <fgColor rgb="00F4B183"/>
        <bgColor rgb="00F4B183"/>
      </patternFill>
    </fill>
    <fill>
      <patternFill patternType="solid">
        <fgColor rgb="008FAADC"/>
        <bgColor rgb="008FAADC"/>
      </patternFill>
    </fill>
    <fill>
      <patternFill patternType="solid">
        <fgColor rgb="00A9D18E"/>
        <bgColor rgb="00A9D18E"/>
      </patternFill>
    </fill>
    <fill>
      <patternFill patternType="solid">
        <fgColor rgb="00FFD966"/>
        <bgColor rgb="00FFD966"/>
      </patternFill>
    </fill>
    <fill>
      <patternFill patternType="solid">
        <fgColor rgb="00B4C7E7"/>
        <bgColor rgb="00B4C7E7"/>
      </patternFill>
    </fill>
    <fill>
      <patternFill patternType="solid">
        <fgColor rgb="00F8CBAD"/>
        <bgColor rgb="00F8CBAD"/>
      </patternFill>
    </fill>
    <fill>
      <patternFill patternType="solid">
        <fgColor rgb="00C9C9C9"/>
        <bgColor rgb="00C9C9C9"/>
      </patternFill>
    </fill>
    <fill>
      <patternFill patternType="solid">
        <fgColor rgb="00E2F0D9"/>
        <bgColor rgb="00E2F0D9"/>
      </patternFill>
    </fill>
    <fill>
      <patternFill patternType="solid">
        <fgColor rgb="00D6DCE4"/>
        <bgColor rgb="00D6DCE4"/>
      </patternFill>
    </fill>
    <fill>
      <patternFill patternType="solid">
        <fgColor rgb="00FBE5D6"/>
        <bgColor rgb="00FBE5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0" fontId="5" fillId="0" borderId="0" pivotButton="0" quotePrefix="0" xfId="0"/>
    <xf numFmtId="3" fontId="3" fillId="0" borderId="0" pivotButton="0" quotePrefix="0" xfId="0"/>
    <xf numFmtId="3" fontId="3" fillId="2" borderId="1" pivotButton="0" quotePrefix="0" xfId="0"/>
    <xf numFmtId="10" fontId="3" fillId="2" borderId="1" pivotButton="0" quotePrefix="0" xfId="0"/>
    <xf numFmtId="3" fontId="3" fillId="0" borderId="1" pivotButton="0" quotePrefix="0" xfId="0"/>
    <xf numFmtId="0" fontId="6" fillId="3" borderId="1" applyAlignment="1" pivotButton="0" quotePrefix="0" xfId="0">
      <alignment horizontal="center" wrapText="1"/>
    </xf>
    <xf numFmtId="0" fontId="4" fillId="0" borderId="1" pivotButton="0" quotePrefix="0" xfId="0"/>
    <xf numFmtId="3" fontId="0" fillId="0" borderId="1" pivotButton="0" quotePrefix="0" xfId="0"/>
    <xf numFmtId="3" fontId="4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pivotButton="0" quotePrefix="0" xfId="0"/>
    <xf numFmtId="10" fontId="4" fillId="0" borderId="1" pivotButton="0" quotePrefix="0" xfId="0"/>
    <xf numFmtId="0" fontId="0" fillId="4" borderId="1" pivotButton="0" quotePrefix="0" xfId="0"/>
    <xf numFmtId="3" fontId="0" fillId="0" borderId="0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0" fillId="13" borderId="1" pivotButton="0" quotePrefix="0" xfId="0"/>
    <xf numFmtId="0" fontId="0" fillId="14" borderId="1" pivotButton="0" quotePrefix="0" xfId="0"/>
    <xf numFmtId="0" fontId="0" fillId="15" borderId="1" pivotButton="0" quotePrefix="0" xfId="0"/>
    <xf numFmtId="0" fontId="0" fillId="16" borderId="1" pivotButton="0" quotePrefix="0" xfId="0"/>
    <xf numFmtId="0" fontId="0" fillId="17" borderId="1" pivotButton="0" quotePrefix="0" xfId="0"/>
    <xf numFmtId="0" fontId="0" fillId="18" borderId="1" pivotButton="0" quotePrefix="0" xfId="0"/>
    <xf numFmtId="0" fontId="0" fillId="19" borderId="1" pivotButton="0" quotePrefix="0" xfId="0"/>
    <xf numFmtId="0" fontId="0" fillId="20" borderId="1" pivotButton="0" quotePrefix="0" xfId="0"/>
    <xf numFmtId="0" fontId="0" fillId="21" borderId="1" pivotButton="0" quotePrefix="0" xfId="0"/>
    <xf numFmtId="0" fontId="0" fillId="22" borderId="1" pivotButton="0" quotePrefix="0" xfId="0"/>
    <xf numFmtId="0" fontId="0" fillId="23" borderId="1" pivotButton="0" quotePrefix="0" xfId="0"/>
    <xf numFmtId="0" fontId="0" fillId="24" borderId="1" pivotButton="0" quotePrefix="0" xfId="0"/>
    <xf numFmtId="0" fontId="0" fillId="25" borderId="1" pivotButton="0" quotePrefix="0" xfId="0"/>
    <xf numFmtId="0" fontId="0" fillId="26" borderId="1" pivotButton="0" quotePrefix="0" xfId="0"/>
    <xf numFmtId="0" fontId="0" fillId="27" borderId="1" pivotButton="0" quotePrefix="0" xfId="0"/>
    <xf numFmtId="0" fontId="0" fillId="28" borderId="1" pivotButton="0" quotePrefix="0" xfId="0"/>
    <xf numFmtId="0" fontId="0" fillId="29" borderId="1" pivotButton="0" quotePrefix="0" xfId="0"/>
    <xf numFmtId="0" fontId="0" fillId="30" borderId="1" pivotButton="0" quotePrefix="0" xfId="0"/>
    <xf numFmtId="0" fontId="0" fillId="31" borderId="1" pivotButton="0" quotePrefix="0" xfId="0"/>
    <xf numFmtId="0" fontId="0" fillId="32" borderId="1" pivotButton="0" quotePrefix="0" xfId="0"/>
    <xf numFmtId="0" fontId="0" fillId="33" borderId="1" pivotButton="0" quotePrefix="0" xfId="0"/>
  </cellXfs>
  <cellStyles count="1">
    <cellStyle name="Normal" xfId="0" builtinId="0" hidden="0"/>
  </cellStyles>
  <dxfs count="1">
    <dxf>
      <font>
        <name val="Calibri"/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Scarborough Glen HOA — Projected Expenditures by Year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'Expenditure Chart'!F2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'Expenditure Chart'!$E$3:$E$13</f>
            </numRef>
          </cat>
          <val>
            <numRef>
              <f>'Expenditure Chart'!$F$3:$F$13</f>
            </numRef>
          </val>
        </ser>
        <ser>
          <idx val="1"/>
          <order val="1"/>
          <tx>
            <strRef>
              <f>'Expenditure Chart'!G2</f>
            </strRef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'Expenditure Chart'!$E$3:$E$13</f>
            </numRef>
          </cat>
          <val>
            <numRef>
              <f>'Expenditure Chart'!$G$3:$G$13</f>
            </numRef>
          </val>
        </ser>
        <ser>
          <idx val="2"/>
          <order val="2"/>
          <tx>
            <strRef>
              <f>'Expenditure Chart'!H2</f>
            </strRef>
          </tx>
          <spPr>
            <a:solidFill>
              <a:srgbClr val="A5A5A5"/>
            </a:solidFill>
            <a:ln>
              <a:prstDash val="solid"/>
            </a:ln>
          </spPr>
          <cat>
            <numRef>
              <f>'Expenditure Chart'!$E$3:$E$13</f>
            </numRef>
          </cat>
          <val>
            <numRef>
              <f>'Expenditure Chart'!$H$3:$H$13</f>
            </numRef>
          </val>
        </ser>
        <ser>
          <idx val="3"/>
          <order val="3"/>
          <tx>
            <strRef>
              <f>'Expenditure Chart'!I2</f>
            </strRef>
          </tx>
          <spPr>
            <a:solidFill>
              <a:srgbClr val="FFC000"/>
            </a:solidFill>
            <a:ln>
              <a:prstDash val="solid"/>
            </a:ln>
          </spPr>
          <cat>
            <numRef>
              <f>'Expenditure Chart'!$E$3:$E$13</f>
            </numRef>
          </cat>
          <val>
            <numRef>
              <f>'Expenditure Chart'!$I$3:$I$13</f>
            </numRef>
          </val>
        </ser>
        <ser>
          <idx val="4"/>
          <order val="4"/>
          <tx>
            <strRef>
              <f>'Expenditure Chart'!J2</f>
            </strRef>
          </tx>
          <spPr>
            <a:solidFill>
              <a:srgbClr val="5B9BD5"/>
            </a:solidFill>
            <a:ln>
              <a:prstDash val="solid"/>
            </a:ln>
          </spPr>
          <cat>
            <numRef>
              <f>'Expenditure Chart'!$E$3:$E$13</f>
            </numRef>
          </cat>
          <val>
            <numRef>
              <f>'Expenditure Chart'!$J$3:$J$13</f>
            </numRef>
          </val>
        </ser>
        <ser>
          <idx val="5"/>
          <order val="5"/>
          <tx>
            <strRef>
              <f>'Expenditure Chart'!K2</f>
            </strRef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'Expenditure Chart'!$E$3:$E$13</f>
            </numRef>
          </cat>
          <val>
            <numRef>
              <f>'Expenditure Chart'!$K$3:$K$13</f>
            </numRef>
          </val>
        </ser>
        <ser>
          <idx val="6"/>
          <order val="6"/>
          <tx>
            <strRef>
              <f>'Expenditure Chart'!L2</f>
            </strRef>
          </tx>
          <spPr>
            <a:solidFill>
              <a:srgbClr val="264478"/>
            </a:solidFill>
            <a:ln>
              <a:prstDash val="solid"/>
            </a:ln>
          </spPr>
          <cat>
            <numRef>
              <f>'Expenditure Chart'!$E$3:$E$13</f>
            </numRef>
          </cat>
          <val>
            <numRef>
              <f>'Expenditure Chart'!$L$3:$L$13</f>
            </numRef>
          </val>
        </ser>
        <ser>
          <idx val="7"/>
          <order val="7"/>
          <tx>
            <strRef>
              <f>'Expenditure Chart'!M2</f>
            </strRef>
          </tx>
          <spPr>
            <a:solidFill>
              <a:srgbClr val="9B57A0"/>
            </a:solidFill>
            <a:ln>
              <a:prstDash val="solid"/>
            </a:ln>
          </spPr>
          <cat>
            <numRef>
              <f>'Expenditure Chart'!$E$3:$E$13</f>
            </numRef>
          </cat>
          <val>
            <numRef>
              <f>'Expenditure Chart'!$M$3:$M$13</f>
            </numRef>
          </val>
        </ser>
        <ser>
          <idx val="8"/>
          <order val="8"/>
          <tx>
            <strRef>
              <f>'Expenditure Chart'!N2</f>
            </strRef>
          </tx>
          <spPr>
            <a:solidFill>
              <a:srgbClr val="636363"/>
            </a:solidFill>
            <a:ln>
              <a:prstDash val="solid"/>
            </a:ln>
          </spPr>
          <cat>
            <numRef>
              <f>'Expenditure Chart'!$E$3:$E$13</f>
            </numRef>
          </cat>
          <val>
            <numRef>
              <f>'Expenditure Chart'!$N$3:$N$13</f>
            </numRef>
          </val>
        </ser>
        <ser>
          <idx val="9"/>
          <order val="9"/>
          <tx>
            <strRef>
              <f>'Expenditure Chart'!O2</f>
            </strRef>
          </tx>
          <spPr>
            <a:solidFill>
              <a:srgbClr val="EB7E30"/>
            </a:solidFill>
            <a:ln>
              <a:prstDash val="solid"/>
            </a:ln>
          </spPr>
          <cat>
            <numRef>
              <f>'Expenditure Chart'!$E$3:$E$13</f>
            </numRef>
          </cat>
          <val>
            <numRef>
              <f>'Expenditure Chart'!$O$3:$O$13</f>
            </numRef>
          </val>
        </ser>
        <ser>
          <idx val="10"/>
          <order val="10"/>
          <tx>
            <strRef>
              <f>'Expenditure Chart'!P2</f>
            </strRef>
          </tx>
          <spPr>
            <a:solidFill>
              <a:srgbClr val="44546A"/>
            </a:solidFill>
            <a:ln>
              <a:prstDash val="solid"/>
            </a:ln>
          </spPr>
          <cat>
            <numRef>
              <f>'Expenditure Chart'!$E$3:$E$13</f>
            </numRef>
          </cat>
          <val>
            <numRef>
              <f>'Expenditure Chart'!$P$3:$P$13</f>
            </numRef>
          </val>
        </ser>
        <ser>
          <idx val="11"/>
          <order val="11"/>
          <tx>
            <strRef>
              <f>'Expenditure Chart'!Q2</f>
            </strRef>
          </tx>
          <spPr>
            <a:solidFill>
              <a:srgbClr val="BF4B28"/>
            </a:solidFill>
            <a:ln>
              <a:prstDash val="solid"/>
            </a:ln>
          </spPr>
          <cat>
            <numRef>
              <f>'Expenditure Chart'!$E$3:$E$13</f>
            </numRef>
          </cat>
          <val>
            <numRef>
              <f>'Expenditure Chart'!$Q$3:$Q$13</f>
            </numRef>
          </val>
        </ser>
        <ser>
          <idx val="12"/>
          <order val="12"/>
          <tx>
            <strRef>
              <f>'Expenditure Chart'!R2</f>
            </strRef>
          </tx>
          <spPr>
            <a:solidFill>
              <a:srgbClr val="00B0F0"/>
            </a:solidFill>
            <a:ln>
              <a:prstDash val="solid"/>
            </a:ln>
          </spPr>
          <cat>
            <numRef>
              <f>'Expenditure Chart'!$E$3:$E$13</f>
            </numRef>
          </cat>
          <val>
            <numRef>
              <f>'Expenditure Chart'!$R$3:$R$13</f>
            </numRef>
          </val>
        </ser>
        <ser>
          <idx val="13"/>
          <order val="13"/>
          <tx>
            <strRef>
              <f>'Expenditure Chart'!S2</f>
            </strRef>
          </tx>
          <spPr>
            <a:solidFill>
              <a:srgbClr val="92D050"/>
            </a:solidFill>
            <a:ln>
              <a:prstDash val="solid"/>
            </a:ln>
          </spPr>
          <cat>
            <numRef>
              <f>'Expenditure Chart'!$E$3:$E$13</f>
            </numRef>
          </cat>
          <val>
            <numRef>
              <f>'Expenditure Chart'!$S$3:$S$13</f>
            </numRef>
          </val>
        </ser>
        <ser>
          <idx val="14"/>
          <order val="14"/>
          <tx>
            <strRef>
              <f>'Expenditure Chart'!T2</f>
            </strRef>
          </tx>
          <spPr>
            <a:solidFill>
              <a:srgbClr val="7030A0"/>
            </a:solidFill>
            <a:ln>
              <a:prstDash val="solid"/>
            </a:ln>
          </spPr>
          <cat>
            <numRef>
              <f>'Expenditure Chart'!$E$3:$E$13</f>
            </numRef>
          </cat>
          <val>
            <numRef>
              <f>'Expenditure Chart'!$T$3:$T$13</f>
            </numRef>
          </val>
        </ser>
        <ser>
          <idx val="15"/>
          <order val="15"/>
          <tx>
            <strRef>
              <f>'Expenditure Chart'!U2</f>
            </strRef>
          </tx>
          <spPr>
            <a:solidFill>
              <a:srgbClr val="C55A11"/>
            </a:solidFill>
            <a:ln>
              <a:prstDash val="solid"/>
            </a:ln>
          </spPr>
          <cat>
            <numRef>
              <f>'Expenditure Chart'!$E$3:$E$13</f>
            </numRef>
          </cat>
          <val>
            <numRef>
              <f>'Expenditure Chart'!$U$3:$U$13</f>
            </numRef>
          </val>
        </ser>
        <ser>
          <idx val="16"/>
          <order val="16"/>
          <tx>
            <strRef>
              <f>'Expenditure Chart'!V2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'Expenditure Chart'!$E$3:$E$13</f>
            </numRef>
          </cat>
          <val>
            <numRef>
              <f>'Expenditure Chart'!$V$3:$V$13</f>
            </numRef>
          </val>
        </ser>
        <ser>
          <idx val="17"/>
          <order val="17"/>
          <tx>
            <strRef>
              <f>'Expenditure Chart'!W2</f>
            </strRef>
          </tx>
          <spPr>
            <a:solidFill>
              <a:srgbClr val="AFABAB"/>
            </a:solidFill>
            <a:ln>
              <a:prstDash val="solid"/>
            </a:ln>
          </spPr>
          <cat>
            <numRef>
              <f>'Expenditure Chart'!$E$3:$E$13</f>
            </numRef>
          </cat>
          <val>
            <numRef>
              <f>'Expenditure Chart'!$W$3:$W$13</f>
            </numRef>
          </val>
        </ser>
        <ser>
          <idx val="18"/>
          <order val="18"/>
          <tx>
            <strRef>
              <f>'Expenditure Chart'!X2</f>
            </strRef>
          </tx>
          <spPr>
            <a:solidFill>
              <a:srgbClr val="43682B"/>
            </a:solidFill>
            <a:ln>
              <a:prstDash val="solid"/>
            </a:ln>
          </spPr>
          <cat>
            <numRef>
              <f>'Expenditure Chart'!$E$3:$E$13</f>
            </numRef>
          </cat>
          <val>
            <numRef>
              <f>'Expenditure Chart'!$X$3:$X$13</f>
            </numRef>
          </val>
        </ser>
        <ser>
          <idx val="19"/>
          <order val="19"/>
          <tx>
            <strRef>
              <f>'Expenditure Chart'!Y2</f>
            </strRef>
          </tx>
          <spPr>
            <a:solidFill>
              <a:srgbClr val="D63384"/>
            </a:solidFill>
            <a:ln>
              <a:prstDash val="solid"/>
            </a:ln>
          </spPr>
          <cat>
            <numRef>
              <f>'Expenditure Chart'!$E$3:$E$13</f>
            </numRef>
          </cat>
          <val>
            <numRef>
              <f>'Expenditure Chart'!$Y$3:$Y$13</f>
            </numRef>
          </val>
        </ser>
        <ser>
          <idx val="20"/>
          <order val="20"/>
          <tx>
            <strRef>
              <f>'Expenditure Chart'!Z2</f>
            </strRef>
          </tx>
          <spPr>
            <a:solidFill>
              <a:srgbClr val="F4B183"/>
            </a:solidFill>
            <a:ln>
              <a:prstDash val="solid"/>
            </a:ln>
          </spPr>
          <cat>
            <numRef>
              <f>'Expenditure Chart'!$E$3:$E$13</f>
            </numRef>
          </cat>
          <val>
            <numRef>
              <f>'Expenditure Chart'!$Z$3:$Z$13</f>
            </numRef>
          </val>
        </ser>
        <ser>
          <idx val="21"/>
          <order val="21"/>
          <tx>
            <strRef>
              <f>'Expenditure Chart'!AA2</f>
            </strRef>
          </tx>
          <spPr>
            <a:solidFill>
              <a:srgbClr val="8FAADC"/>
            </a:solidFill>
            <a:ln>
              <a:prstDash val="solid"/>
            </a:ln>
          </spPr>
          <cat>
            <numRef>
              <f>'Expenditure Chart'!$E$3:$E$13</f>
            </numRef>
          </cat>
          <val>
            <numRef>
              <f>'Expenditure Chart'!$AA$3:$AA$13</f>
            </numRef>
          </val>
        </ser>
        <ser>
          <idx val="22"/>
          <order val="22"/>
          <tx>
            <strRef>
              <f>'Expenditure Chart'!AB2</f>
            </strRef>
          </tx>
          <spPr>
            <a:solidFill>
              <a:srgbClr val="A9D18E"/>
            </a:solidFill>
            <a:ln>
              <a:prstDash val="solid"/>
            </a:ln>
          </spPr>
          <cat>
            <numRef>
              <f>'Expenditure Chart'!$E$3:$E$13</f>
            </numRef>
          </cat>
          <val>
            <numRef>
              <f>'Expenditure Chart'!$AB$3:$AB$13</f>
            </numRef>
          </val>
        </ser>
        <ser>
          <idx val="23"/>
          <order val="23"/>
          <tx>
            <strRef>
              <f>'Expenditure Chart'!AC2</f>
            </strRef>
          </tx>
          <spPr>
            <a:solidFill>
              <a:srgbClr val="FFD966"/>
            </a:solidFill>
            <a:ln>
              <a:prstDash val="solid"/>
            </a:ln>
          </spPr>
          <cat>
            <numRef>
              <f>'Expenditure Chart'!$E$3:$E$13</f>
            </numRef>
          </cat>
          <val>
            <numRef>
              <f>'Expenditure Chart'!$AC$3:$AC$13</f>
            </numRef>
          </val>
        </ser>
        <ser>
          <idx val="24"/>
          <order val="24"/>
          <tx>
            <strRef>
              <f>'Expenditure Chart'!AD2</f>
            </strRef>
          </tx>
          <spPr>
            <a:solidFill>
              <a:srgbClr val="B4C7E7"/>
            </a:solidFill>
            <a:ln>
              <a:prstDash val="solid"/>
            </a:ln>
          </spPr>
          <cat>
            <numRef>
              <f>'Expenditure Chart'!$E$3:$E$13</f>
            </numRef>
          </cat>
          <val>
            <numRef>
              <f>'Expenditure Chart'!$AD$3:$AD$13</f>
            </numRef>
          </val>
        </ser>
        <ser>
          <idx val="25"/>
          <order val="25"/>
          <tx>
            <strRef>
              <f>'Expenditure Chart'!AE2</f>
            </strRef>
          </tx>
          <spPr>
            <a:solidFill>
              <a:srgbClr val="F8CBAD"/>
            </a:solidFill>
            <a:ln>
              <a:prstDash val="solid"/>
            </a:ln>
          </spPr>
          <cat>
            <numRef>
              <f>'Expenditure Chart'!$E$3:$E$13</f>
            </numRef>
          </cat>
          <val>
            <numRef>
              <f>'Expenditure Chart'!$AE$3:$AE$13</f>
            </numRef>
          </val>
        </ser>
        <ser>
          <idx val="26"/>
          <order val="26"/>
          <tx>
            <strRef>
              <f>'Expenditure Chart'!AF2</f>
            </strRef>
          </tx>
          <spPr>
            <a:solidFill>
              <a:srgbClr val="C9C9C9"/>
            </a:solidFill>
            <a:ln>
              <a:prstDash val="solid"/>
            </a:ln>
          </spPr>
          <cat>
            <numRef>
              <f>'Expenditure Chart'!$E$3:$E$13</f>
            </numRef>
          </cat>
          <val>
            <numRef>
              <f>'Expenditure Chart'!$AF$3:$AF$13</f>
            </numRef>
          </val>
        </ser>
        <ser>
          <idx val="27"/>
          <order val="27"/>
          <tx>
            <strRef>
              <f>'Expenditure Chart'!AG2</f>
            </strRef>
          </tx>
          <spPr>
            <a:solidFill>
              <a:srgbClr val="E2F0D9"/>
            </a:solidFill>
            <a:ln>
              <a:prstDash val="solid"/>
            </a:ln>
          </spPr>
          <cat>
            <numRef>
              <f>'Expenditure Chart'!$E$3:$E$13</f>
            </numRef>
          </cat>
          <val>
            <numRef>
              <f>'Expenditure Chart'!$AG$3:$AG$13</f>
            </numRef>
          </val>
        </ser>
        <ser>
          <idx val="28"/>
          <order val="28"/>
          <tx>
            <strRef>
              <f>'Expenditure Chart'!AH2</f>
            </strRef>
          </tx>
          <spPr>
            <a:solidFill>
              <a:srgbClr val="D6DCE4"/>
            </a:solidFill>
            <a:ln>
              <a:prstDash val="solid"/>
            </a:ln>
          </spPr>
          <cat>
            <numRef>
              <f>'Expenditure Chart'!$E$3:$E$13</f>
            </numRef>
          </cat>
          <val>
            <numRef>
              <f>'Expenditure Chart'!$AH$3:$AH$13</f>
            </numRef>
          </val>
        </ser>
        <ser>
          <idx val="29"/>
          <order val="29"/>
          <tx>
            <strRef>
              <f>'Expenditure Chart'!AI2</f>
            </strRef>
          </tx>
          <spPr>
            <a:solidFill>
              <a:srgbClr val="FBE5D6"/>
            </a:solidFill>
            <a:ln>
              <a:prstDash val="solid"/>
            </a:ln>
          </spPr>
          <cat>
            <numRef>
              <f>'Expenditure Chart'!$E$3:$E$13</f>
            </numRef>
          </cat>
          <val>
            <numRef>
              <f>'Expenditure Chart'!$AI$3:$AI$13</f>
            </numRef>
          </val>
        </ser>
        <ser>
          <idx val="30"/>
          <order val="30"/>
          <tx>
            <strRef>
              <f>'Expenditure Chart'!AJ2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'Expenditure Chart'!$E$3:$E$13</f>
            </numRef>
          </cat>
          <val>
            <numRef>
              <f>'Expenditure Chart'!$AJ$3:$AJ$13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numFmt formatCode="0" sourceLinked="0"/>
        <majorTickMark val="out"/>
        <minorTickMark val="none"/>
        <tickLblPos val="low"/>
        <txPr>
          <a:bodyPr rot="-5400000"/>
          <a:p>
            <a:pPr>
              <a:defRPr sz="1000"/>
            </a:pPr>
            <a:r>
              <a:t/>
            </a:r>
            <a:endParaRPr sz="100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Cost ($)</a:t>
                </a:r>
              </a:p>
            </rich>
          </tx>
        </title>
        <numFmt formatCode="$#,##0,K" sourceLinked="0"/>
        <majorTickMark val="none"/>
        <minorTickMark val="none"/>
        <tickLblPos val="low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35</row>
      <rowOff>0</rowOff>
    </from>
    <ext cx="12960000" cy="72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2F5496"/>
    <outlinePr summaryBelow="1" summaryRight="1"/>
    <pageSetUpPr/>
  </sheetPr>
  <dimension ref="B1:E105"/>
  <sheetViews>
    <sheetView workbookViewId="0">
      <selection activeCell="A1" sqref="A1"/>
    </sheetView>
  </sheetViews>
  <sheetFormatPr baseColWidth="8" defaultRowHeight="15"/>
  <cols>
    <col width="3" customWidth="1" min="1" max="1"/>
    <col width="45" customWidth="1" min="2" max="2"/>
    <col width="20" customWidth="1" min="3" max="3"/>
    <col width="20" customWidth="1" min="4" max="4"/>
    <col width="20" customWidth="1" min="5" max="5"/>
  </cols>
  <sheetData>
    <row r="1">
      <c r="B1" s="1" t="inlineStr">
        <is>
          <t>Scarborough Glen HOA</t>
        </is>
      </c>
    </row>
    <row r="2">
      <c r="B2" s="2" t="inlineStr">
        <is>
          <t>Capital Reserve Funding Plan</t>
        </is>
      </c>
    </row>
    <row r="4">
      <c r="B4" s="3" t="inlineStr">
        <is>
          <t>Data Sources:</t>
        </is>
      </c>
    </row>
    <row r="5">
      <c r="B5" s="4" t="inlineStr">
        <is>
          <t>Based on Becht Engineering Capital Reserve Study (Project 25-1140, February 2026)</t>
        </is>
      </c>
    </row>
    <row r="6">
      <c r="B6" s="4" t="inlineStr">
        <is>
          <t>Entity allocations derived from Falcon Group Report (2022) per-entity quantity ratios</t>
        </is>
      </c>
    </row>
    <row r="8">
      <c r="B8" s="2" t="inlineStr">
        <is>
          <t>Overview</t>
        </is>
      </c>
    </row>
    <row r="9">
      <c r="B9" s="4" t="inlineStr">
        <is>
          <t>Number of units: 136</t>
        </is>
      </c>
    </row>
    <row r="10">
      <c r="B10" s="4" t="inlineStr">
        <is>
          <t>Total replacement cost (current dollars): $945,673</t>
        </is>
      </c>
    </row>
    <row r="11">
      <c r="B11" s="4" t="inlineStr">
        <is>
          <t>Baseline Year-1 annual contribution: $64,563</t>
        </is>
      </c>
    </row>
    <row r="12">
      <c r="B12" s="4" t="inlineStr">
        <is>
          <t>Starting reserve balance (2026): $59,717</t>
        </is>
      </c>
    </row>
    <row r="13">
      <c r="B13" s="4" t="inlineStr">
        <is>
          <t>Planning horizon: 2026-2050 (25 years)</t>
        </is>
      </c>
    </row>
    <row r="15">
      <c r="B15" s="2" t="inlineStr">
        <is>
          <t>Funding Model Assumptions</t>
        </is>
      </c>
    </row>
    <row r="16">
      <c r="B16" s="4" t="inlineStr">
        <is>
          <t>Annual contributions grow at a configurable rate (default 3%) to keep pace with inflation.</t>
        </is>
      </c>
    </row>
    <row r="17">
      <c r="B17" s="4" t="inlineStr">
        <is>
          <t>Reserve funds earn interest at a configurable rate (default 1%) annually.</t>
        </is>
      </c>
    </row>
    <row r="18">
      <c r="B18" s="4" t="inlineStr">
        <is>
          <t>Disbursements (expenditures) occur in the year projected by the Becht engineering study.</t>
        </is>
      </c>
    </row>
    <row r="19">
      <c r="B19" s="4" t="inlineStr">
        <is>
          <t>All disbursement amounts include 3% annual inflation applied to current replacement costs.</t>
        </is>
      </c>
    </row>
    <row r="21">
      <c r="B21" s="2" t="inlineStr">
        <is>
          <t>Reserve Schedule Sheet — Column Guide</t>
        </is>
      </c>
    </row>
    <row r="22">
      <c r="B22" s="3" t="inlineStr">
        <is>
          <t>Year</t>
        </is>
      </c>
      <c r="C22" s="4" t="inlineStr">
        <is>
          <t>Calendar year (2026-2050)</t>
        </is>
      </c>
    </row>
    <row r="23">
      <c r="B23" s="3" t="inlineStr">
        <is>
          <t>Opening Balance</t>
        </is>
      </c>
      <c r="C23" s="4" t="inlineStr">
        <is>
          <t>Reserve fund balance at start of year (= prior year's Closing Balance)</t>
        </is>
      </c>
    </row>
    <row r="24">
      <c r="B24" s="3" t="inlineStr">
        <is>
          <t>Annual Contribution</t>
        </is>
      </c>
      <c r="C24" s="4" t="inlineStr">
        <is>
          <t>Amount contributed this year; grows by the Growth Rate each year</t>
        </is>
      </c>
    </row>
    <row r="25">
      <c r="B25" s="3" t="inlineStr">
        <is>
          <t>Disbursement</t>
        </is>
      </c>
      <c r="C25" s="4" t="inlineStr">
        <is>
          <t>Total expenditures in this year for component replacements</t>
        </is>
      </c>
    </row>
    <row r="26">
      <c r="B26" s="3" t="inlineStr">
        <is>
          <t>Interest Earned</t>
        </is>
      </c>
      <c r="C26" s="4" t="inlineStr">
        <is>
          <t>Interest on the Opening Balance at the configured Interest Rate</t>
        </is>
      </c>
    </row>
    <row r="27">
      <c r="B27" s="3" t="inlineStr">
        <is>
          <t>Closing Balance</t>
        </is>
      </c>
      <c r="C27" s="4" t="inlineStr">
        <is>
          <t>Opening + Contribution - Disbursement + Interest</t>
        </is>
      </c>
    </row>
    <row r="28">
      <c r="B28" s="3" t="inlineStr">
        <is>
          <t>Monthly Cost/Unit</t>
        </is>
      </c>
      <c r="C28" s="4" t="inlineStr">
        <is>
          <t>Annual Contribution / Number of Units / 12 months</t>
        </is>
      </c>
    </row>
    <row r="29">
      <c r="B29" s="3" t="inlineStr">
        <is>
          <t>Floor Check</t>
        </is>
      </c>
      <c r="C29" s="4" t="inlineStr">
        <is>
          <t>Shows 'BELOW FLOOR' if Closing Balance &lt; Total Floor Amount (Per Unit x Units); blank if OK</t>
        </is>
      </c>
    </row>
    <row r="31">
      <c r="B31" s="2" t="inlineStr">
        <is>
          <t>Floor Amount Per Unit (Minimum Balance Threshold)</t>
        </is>
      </c>
    </row>
    <row r="32">
      <c r="B32" s="4" t="inlineStr">
        <is>
          <t>The Floor Amount is set PER UNIT and multiplied by your unit count to get the total minimum balance.</t>
        </is>
      </c>
    </row>
    <row r="33">
      <c r="B33" s="4" t="inlineStr">
        <is>
          <t>Default: $350/unit x 136 units = $47,600 total floor.</t>
        </is>
      </c>
    </row>
    <row r="34">
      <c r="B34" s="4" t="inlineStr">
        <is>
          <t>This default is approximately 5% of your per-unit replacement cost ($6,953/unit).</t>
        </is>
      </c>
    </row>
    <row r="35">
      <c r="B35" s="4" t="inlineStr">
        <is>
          <t>Set to $0/unit for baseline (no cushion — fund may hit zero).</t>
        </is>
      </c>
    </row>
    <row r="36">
      <c r="B36" s="4" t="inlineStr">
        <is>
          <t>A 10% threshold would be ~$650/unit ($94,567 total).</t>
        </is>
      </c>
    </row>
    <row r="37">
      <c r="B37" s="4" t="inlineStr">
        <is>
          <t>Higher floor = more protection against surprises but higher annual contributions needed.</t>
        </is>
      </c>
    </row>
    <row r="38">
      <c r="B38" s="4" t="inlineStr">
        <is>
          <t>The yellow 'Floor Amount Per Unit' cell on the Reserve Schedule sheet is where you set this.</t>
        </is>
      </c>
    </row>
    <row r="39">
      <c r="B39" s="4" t="inlineStr">
        <is>
          <t>Total Floor Amount is calculated automatically (Per Unit x Units).</t>
        </is>
      </c>
    </row>
    <row r="41">
      <c r="B41" s="2" t="inlineStr">
        <is>
          <t>Components Covered by This Plan</t>
        </is>
      </c>
    </row>
    <row r="42">
      <c r="B42" s="4" t="inlineStr">
        <is>
          <t>See the 'Components' sheet for full detail. Summary:</t>
        </is>
      </c>
    </row>
    <row r="44">
      <c r="B44" s="3" t="inlineStr">
        <is>
          <t>Component</t>
        </is>
      </c>
      <c r="C44" s="3" t="inlineStr">
        <is>
          <t>Allocated Cost</t>
        </is>
      </c>
      <c r="D44" s="3" t="inlineStr">
        <is>
          <t>Replacement Year</t>
        </is>
      </c>
    </row>
    <row r="45">
      <c r="B45" s="4" t="inlineStr">
        <is>
          <t>Aerator</t>
        </is>
      </c>
      <c r="C45" s="5" t="n">
        <v>5500</v>
      </c>
      <c r="D45" s="4" t="n">
        <v>2036</v>
      </c>
    </row>
    <row r="46">
      <c r="B46" s="4" t="inlineStr">
        <is>
          <t>Asphalt Crack Filling</t>
        </is>
      </c>
      <c r="C46" s="5" t="n">
        <v>15000</v>
      </c>
    </row>
    <row r="47">
      <c r="B47" s="4" t="inlineStr">
        <is>
          <t>Asphalt Paving (Roads)</t>
        </is>
      </c>
      <c r="C47" s="5" t="n">
        <v>330000</v>
      </c>
      <c r="D47" s="4" t="n">
        <v>2036</v>
      </c>
    </row>
    <row r="48">
      <c r="B48" s="4" t="inlineStr">
        <is>
          <t>Bathroom Refurbishment (Clubhouse)</t>
        </is>
      </c>
      <c r="C48" s="5" t="n">
        <v>10000</v>
      </c>
      <c r="D48" s="4" t="n">
        <v>2033</v>
      </c>
    </row>
    <row r="49">
      <c r="B49" s="4" t="inlineStr">
        <is>
          <t>Clubhouse Furniture</t>
        </is>
      </c>
      <c r="C49" s="5" t="n">
        <v>15000</v>
      </c>
      <c r="D49" s="4" t="n">
        <v>2036</v>
      </c>
    </row>
    <row r="50">
      <c r="B50" s="4" t="inlineStr">
        <is>
          <t>Concrete Pool Apron</t>
        </is>
      </c>
      <c r="C50" s="5" t="n">
        <v>78250</v>
      </c>
      <c r="D50" s="4" t="n">
        <v>2036</v>
      </c>
    </row>
    <row r="51">
      <c r="B51" s="4" t="inlineStr">
        <is>
          <t>Concrete Pool Coping</t>
        </is>
      </c>
      <c r="C51" s="5" t="n">
        <v>9900</v>
      </c>
      <c r="D51" s="4" t="n">
        <v>2031</v>
      </c>
    </row>
    <row r="52">
      <c r="B52" s="4" t="inlineStr">
        <is>
          <t>Concrete Sidewalks (HOA share)</t>
        </is>
      </c>
      <c r="C52" s="5" t="n">
        <v>20103</v>
      </c>
      <c r="D52" s="4" t="n">
        <v>2033</v>
      </c>
    </row>
    <row r="53">
      <c r="B53" s="4" t="inlineStr">
        <is>
          <t>Curbing, Concrete</t>
        </is>
      </c>
      <c r="C53" s="5" t="n">
        <v>35000</v>
      </c>
      <c r="D53" s="4" t="n">
        <v>2036</v>
      </c>
    </row>
    <row r="54">
      <c r="B54" s="4" t="inlineStr">
        <is>
          <t>Entrance Sign - Large</t>
        </is>
      </c>
      <c r="C54" s="5" t="n">
        <v>20000</v>
      </c>
      <c r="D54" s="4" t="n">
        <v>2046</v>
      </c>
    </row>
    <row r="55">
      <c r="B55" s="4" t="inlineStr">
        <is>
          <t>Entrance Sign - Small</t>
        </is>
      </c>
      <c r="C55" s="5" t="n">
        <v>12000</v>
      </c>
      <c r="D55" s="4" t="n">
        <v>2046</v>
      </c>
    </row>
    <row r="56">
      <c r="B56" s="4" t="inlineStr">
        <is>
          <t>Fence, Vinyl Stockade</t>
        </is>
      </c>
      <c r="C56" s="5" t="n">
        <v>42500</v>
      </c>
      <c r="D56" s="4" t="n">
        <v>2043</v>
      </c>
    </row>
    <row r="57">
      <c r="B57" s="4" t="inlineStr">
        <is>
          <t>Fence, Wood Split Rail</t>
        </is>
      </c>
      <c r="C57" s="5" t="n">
        <v>122500</v>
      </c>
      <c r="D57" s="4" t="n">
        <v>2041</v>
      </c>
    </row>
    <row r="58">
      <c r="B58" s="4" t="inlineStr">
        <is>
          <t>Fire Alarm Control Panel</t>
        </is>
      </c>
      <c r="C58" s="5" t="n">
        <v>8000</v>
      </c>
      <c r="D58" s="4" t="n">
        <v>2033</v>
      </c>
    </row>
    <row r="59">
      <c r="B59" s="4" t="inlineStr">
        <is>
          <t>Fitness Room Refurbishment</t>
        </is>
      </c>
      <c r="C59" s="5" t="n">
        <v>5000</v>
      </c>
      <c r="D59" s="4" t="n">
        <v>2033</v>
      </c>
    </row>
    <row r="60">
      <c r="B60" s="4" t="inlineStr">
        <is>
          <t>Gutters - Clubhouse</t>
        </is>
      </c>
      <c r="C60" s="5" t="n">
        <v>2500</v>
      </c>
      <c r="D60" s="4" t="n">
        <v>2028</v>
      </c>
    </row>
    <row r="61">
      <c r="B61" s="4" t="inlineStr">
        <is>
          <t>Hot Water Heater</t>
        </is>
      </c>
      <c r="C61" s="5" t="n">
        <v>2500</v>
      </c>
    </row>
    <row r="62">
      <c r="B62" s="4" t="inlineStr">
        <is>
          <t>Kitchen Refurbishment</t>
        </is>
      </c>
      <c r="C62" s="5" t="n">
        <v>3500</v>
      </c>
      <c r="D62" s="4" t="n">
        <v>2033</v>
      </c>
    </row>
    <row r="63">
      <c r="B63" s="4" t="inlineStr">
        <is>
          <t>Leaders - Clubhouse</t>
        </is>
      </c>
      <c r="C63" s="5" t="n">
        <v>500</v>
      </c>
      <c r="D63" s="4" t="n">
        <v>2032</v>
      </c>
    </row>
    <row r="64">
      <c r="B64" s="4" t="inlineStr">
        <is>
          <t>Lights, Entry Clubhouse</t>
        </is>
      </c>
      <c r="C64" s="5" t="n">
        <v>2700</v>
      </c>
      <c r="D64" s="4" t="n">
        <v>2036</v>
      </c>
    </row>
    <row r="65">
      <c r="B65" s="4" t="inlineStr">
        <is>
          <t>Lights, Entrance Sign</t>
        </is>
      </c>
      <c r="C65" s="5" t="n">
        <v>1500</v>
      </c>
      <c r="D65" s="4" t="n">
        <v>2036</v>
      </c>
    </row>
    <row r="66">
      <c r="B66" s="4" t="inlineStr">
        <is>
          <t>Lights, Recessed</t>
        </is>
      </c>
      <c r="C66" s="5" t="n">
        <v>5500</v>
      </c>
      <c r="D66" s="4" t="n">
        <v>2033</v>
      </c>
    </row>
    <row r="67">
      <c r="B67" s="4" t="inlineStr">
        <is>
          <t>Lights, Street</t>
        </is>
      </c>
      <c r="C67" s="5" t="n">
        <v>83200</v>
      </c>
      <c r="D67" s="4" t="n">
        <v>2033</v>
      </c>
    </row>
    <row r="68">
      <c r="B68" s="4" t="inlineStr">
        <is>
          <t>Mailboxes</t>
        </is>
      </c>
      <c r="C68" s="5" t="n">
        <v>20400</v>
      </c>
      <c r="D68" s="4" t="n">
        <v>2049</v>
      </c>
    </row>
    <row r="69">
      <c r="B69" s="4" t="inlineStr">
        <is>
          <t>Pool Filter System</t>
        </is>
      </c>
      <c r="C69" s="5" t="n">
        <v>10000</v>
      </c>
      <c r="D69" s="4" t="n">
        <v>2036</v>
      </c>
    </row>
    <row r="70">
      <c r="B70" s="4" t="inlineStr">
        <is>
          <t>Roof, Shingles - Clubhouse</t>
        </is>
      </c>
      <c r="C70" s="5" t="n">
        <v>15620</v>
      </c>
      <c r="D70" s="4" t="n">
        <v>2032</v>
      </c>
    </row>
    <row r="71">
      <c r="B71" s="4" t="inlineStr">
        <is>
          <t>Seal Coating</t>
        </is>
      </c>
      <c r="C71" s="5" t="n">
        <v>16500</v>
      </c>
    </row>
    <row r="72">
      <c r="B72" s="4" t="inlineStr">
        <is>
          <t>Siding, Vinyl - Clubhouse</t>
        </is>
      </c>
      <c r="C72" s="5" t="n">
        <v>30000</v>
      </c>
      <c r="D72" s="4" t="n">
        <v>2048</v>
      </c>
    </row>
    <row r="73">
      <c r="B73" s="4" t="inlineStr">
        <is>
          <t>Skylights - Clubhouse</t>
        </is>
      </c>
      <c r="C73" s="5" t="n">
        <v>4500</v>
      </c>
      <c r="D73" s="4" t="n">
        <v>2032</v>
      </c>
    </row>
    <row r="74">
      <c r="B74" s="4" t="inlineStr">
        <is>
          <t>Stop Signs</t>
        </is>
      </c>
      <c r="C74" s="5" t="n">
        <v>2500</v>
      </c>
      <c r="D74" s="4" t="n">
        <v>2046</v>
      </c>
    </row>
    <row r="75">
      <c r="B75" s="4" t="inlineStr">
        <is>
          <t>Street Signs</t>
        </is>
      </c>
      <c r="C75" s="5" t="n">
        <v>2000</v>
      </c>
      <c r="D75" s="4" t="n">
        <v>2046</v>
      </c>
    </row>
    <row r="76">
      <c r="B76" s="4" t="inlineStr">
        <is>
          <t>Windows, Dbl Hung Double - Clubhouse</t>
        </is>
      </c>
      <c r="C76" s="5" t="n">
        <v>4000</v>
      </c>
      <c r="D76" s="4" t="n">
        <v>2053</v>
      </c>
    </row>
    <row r="77">
      <c r="B77" s="4" t="inlineStr">
        <is>
          <t>Windows, Dbl Hung Single - Clubhouse</t>
        </is>
      </c>
      <c r="C77" s="5" t="n">
        <v>2000</v>
      </c>
      <c r="D77" s="4" t="n">
        <v>2053</v>
      </c>
    </row>
    <row r="78">
      <c r="B78" s="4" t="inlineStr">
        <is>
          <t>Windows, Transom</t>
        </is>
      </c>
      <c r="C78" s="5" t="n">
        <v>1500</v>
      </c>
      <c r="D78" s="4" t="n">
        <v>2053</v>
      </c>
    </row>
    <row r="80">
      <c r="B80" s="2" t="inlineStr">
        <is>
          <t>Items NOT Included (Budget Separately)</t>
        </is>
      </c>
    </row>
    <row r="81">
      <c r="B81" s="4" t="inlineStr">
        <is>
          <t>The following items from the Falcon 2022 report are NOT in the Becht 2026 study and are therefore NOT included in this funding schedule. Consider budgeting for these items separately.</t>
        </is>
      </c>
    </row>
    <row r="83">
      <c r="B83" s="3" t="inlineStr">
        <is>
          <t>Item</t>
        </is>
      </c>
      <c r="C83" s="3" t="inlineStr">
        <is>
          <t>Falcon Est. Cost</t>
        </is>
      </c>
      <c r="D83" s="3" t="inlineStr">
        <is>
          <t>Notes</t>
        </is>
      </c>
    </row>
    <row r="84">
      <c r="B84" s="4" t="inlineStr">
        <is>
          <t>Playground Equipment</t>
        </is>
      </c>
      <c r="C84" s="5" t="n">
        <v>27000</v>
      </c>
      <c r="D84" s="6" t="inlineStr">
        <is>
          <t>Will need replacement; Falcon estimated $27,000</t>
        </is>
      </c>
    </row>
    <row r="85">
      <c r="B85" s="4" t="inlineStr">
        <is>
          <t>Pool Shell Resurfacing</t>
        </is>
      </c>
      <c r="C85" s="5" t="n">
        <v>22620</v>
      </c>
      <c r="D85" s="6" t="inlineStr">
        <is>
          <t>Recurring ~10-year cycle; Falcon estimated $22,620/cycle</t>
        </is>
      </c>
    </row>
    <row r="86">
      <c r="B86" s="4" t="inlineStr">
        <is>
          <t>Pool Fence, Aluminum</t>
        </is>
      </c>
      <c r="C86" s="5" t="n">
        <v>18425</v>
      </c>
      <c r="D86" s="6" t="inlineStr">
        <is>
          <t>Not in Becht; Falcon estimated $18,425</t>
        </is>
      </c>
    </row>
    <row r="87">
      <c r="B87" s="4" t="inlineStr">
        <is>
          <t>Board-on-Board Fence</t>
        </is>
      </c>
      <c r="C87" s="5" t="n">
        <v>37350</v>
      </c>
      <c r="D87" s="6" t="inlineStr">
        <is>
          <t>Property-line fencing; Falcon estimated $37,350</t>
        </is>
      </c>
    </row>
    <row r="88">
      <c r="B88" s="4" t="inlineStr">
        <is>
          <t>Roadway Granite Block Entry</t>
        </is>
      </c>
      <c r="C88" s="5" t="n">
        <v>37875</v>
      </c>
      <c r="D88" s="6" t="inlineStr">
        <is>
          <t>Decorative entry feature; Falcon estimated $37,875</t>
        </is>
      </c>
    </row>
    <row r="89">
      <c r="B89" s="4" t="inlineStr">
        <is>
          <t>Clubhouse HVAC Split System</t>
        </is>
      </c>
      <c r="C89" s="5" t="n">
        <v>9000</v>
      </c>
      <c r="D89" s="6" t="inlineStr">
        <is>
          <t>Critical building system; Falcon estimated $9,000</t>
        </is>
      </c>
    </row>
    <row r="90">
      <c r="B90" s="4" t="inlineStr">
        <is>
          <t>Clubhouse Restroom/Lockers</t>
        </is>
      </c>
      <c r="C90" s="5" t="n">
        <v>30000</v>
      </c>
      <c r="D90" s="6" t="inlineStr">
        <is>
          <t>Large item; Falcon estimated $30,000</t>
        </is>
      </c>
    </row>
    <row r="91">
      <c r="B91" s="4" t="inlineStr">
        <is>
          <t>Pool Cover</t>
        </is>
      </c>
      <c r="C91" s="5" t="n">
        <v>4000</v>
      </c>
      <c r="D91" s="6" t="inlineStr">
        <is>
          <t>Recurring; Falcon estimated $4,000</t>
        </is>
      </c>
    </row>
    <row r="92">
      <c r="B92" s="4" t="inlineStr">
        <is>
          <t>Pool Pump</t>
        </is>
      </c>
      <c r="C92" s="5" t="n">
        <v>2500</v>
      </c>
      <c r="D92" s="6" t="inlineStr">
        <is>
          <t>Recurring; Falcon estimated $2,500</t>
        </is>
      </c>
    </row>
    <row r="93">
      <c r="B93" s="4" t="inlineStr">
        <is>
          <t>Pool Furniture Fund</t>
        </is>
      </c>
      <c r="C93" s="5" t="n">
        <v>12000</v>
      </c>
      <c r="D93" s="6" t="inlineStr">
        <is>
          <t>Recurring; Falcon estimated $12,000</t>
        </is>
      </c>
    </row>
    <row r="94">
      <c r="B94" s="4" t="inlineStr">
        <is>
          <t>Pool Chlorination Equipment</t>
        </is>
      </c>
      <c r="C94" s="5" t="n">
        <v>1500</v>
      </c>
      <c r="D94" s="6" t="inlineStr">
        <is>
          <t>Recurring; Falcon estimated $1,500</t>
        </is>
      </c>
    </row>
    <row r="95">
      <c r="B95" s="4" t="inlineStr">
        <is>
          <t>Clubhouse Flooring (carpet + tile)</t>
        </is>
      </c>
      <c r="C95" s="5" t="n">
        <v>8280</v>
      </c>
      <c r="D95" s="6" t="inlineStr">
        <is>
          <t>Falcon estimated $8,280 combined</t>
        </is>
      </c>
    </row>
    <row r="96">
      <c r="B96" s="4" t="inlineStr">
        <is>
          <t>Clubhouse Door, Main Entry</t>
        </is>
      </c>
      <c r="C96" s="5" t="n">
        <v>3500</v>
      </c>
      <c r="D96" s="6" t="inlineStr">
        <is>
          <t>Falcon estimated $3,500</t>
        </is>
      </c>
    </row>
    <row r="97">
      <c r="B97" s="4" t="inlineStr">
        <is>
          <t>Guard Rail</t>
        </is>
      </c>
      <c r="C97" s="5" t="n">
        <v>10880</v>
      </c>
      <c r="D97" s="6" t="inlineStr">
        <is>
          <t>Falcon estimated $10,880</t>
        </is>
      </c>
    </row>
    <row r="98">
      <c r="B98" s="4" t="inlineStr">
        <is>
          <t>Vinyl on Masonry Wall Fence</t>
        </is>
      </c>
      <c r="C98" s="5" t="n">
        <v>13950</v>
      </c>
      <c r="D98" s="6" t="inlineStr">
        <is>
          <t>Falcon estimated $13,950</t>
        </is>
      </c>
    </row>
    <row r="99">
      <c r="B99" s="4" t="inlineStr">
        <is>
          <t>Fire Suppression System</t>
        </is>
      </c>
      <c r="C99" s="5" t="n">
        <v>7500</v>
      </c>
      <c r="D99" s="6" t="inlineStr">
        <is>
          <t>Falcon estimated $7,500</t>
        </is>
      </c>
    </row>
    <row r="100">
      <c r="B100" s="4" t="inlineStr">
        <is>
          <t>Irrigation Repair Fund</t>
        </is>
      </c>
      <c r="C100" s="5" t="n">
        <v>5000</v>
      </c>
      <c r="D100" s="6" t="inlineStr">
        <is>
          <t>Recurring; Falcon estimated $5,000</t>
        </is>
      </c>
    </row>
    <row r="101">
      <c r="B101" s="4" t="inlineStr">
        <is>
          <t>CCTV Security</t>
        </is>
      </c>
      <c r="C101" s="5" t="n">
        <v>2000</v>
      </c>
      <c r="D101" s="6" t="inlineStr">
        <is>
          <t>Falcon estimated $2,000</t>
        </is>
      </c>
    </row>
    <row r="102">
      <c r="B102" s="4" t="inlineStr">
        <is>
          <t>Key Fob Entry System</t>
        </is>
      </c>
      <c r="C102" s="5" t="n">
        <v>1500</v>
      </c>
      <c r="D102" s="6" t="inlineStr">
        <is>
          <t>Falcon estimated $1,500</t>
        </is>
      </c>
    </row>
    <row r="103">
      <c r="B103" s="3" t="inlineStr">
        <is>
          <t>TOTAL OMITTED</t>
        </is>
      </c>
      <c r="C103" s="7" t="n">
        <v>254880</v>
      </c>
    </row>
    <row r="105">
      <c r="B105" s="6" t="inlineStr">
        <is>
          <t>Prepared June 2026. Review and update annually.</t>
        </is>
      </c>
    </row>
  </sheetData>
  <mergeCells count="1">
    <mergeCell ref="B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48235"/>
    <outlinePr summaryBelow="1" summaryRight="1"/>
    <pageSetUpPr/>
  </sheetPr>
  <dimension ref="A1:AN37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0" customWidth="1" min="3" max="3"/>
    <col width="18" customWidth="1" min="4" max="4"/>
    <col width="16" customWidth="1" min="5" max="5"/>
    <col width="18" customWidth="1" min="6" max="6"/>
    <col width="18" customWidth="1" min="7" max="7"/>
    <col width="16" customWidth="1" min="8" max="8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</cols>
  <sheetData>
    <row r="1">
      <c r="A1" s="2" t="inlineStr">
        <is>
          <t>RESERVE FUNDING INPUTS</t>
        </is>
      </c>
    </row>
    <row r="2">
      <c r="A2" s="3" t="inlineStr">
        <is>
          <t>Starting Balance (2026):</t>
        </is>
      </c>
      <c r="B2" s="8" t="n">
        <v>59717</v>
      </c>
    </row>
    <row r="3">
      <c r="A3" s="3" t="inlineStr">
        <is>
          <t>Year-1 Annual Contribution:</t>
        </is>
      </c>
      <c r="B3" s="8" t="n">
        <v>64563</v>
      </c>
    </row>
    <row r="4">
      <c r="A4" s="3" t="inlineStr">
        <is>
          <t>Annual Contribution Growth Rate:</t>
        </is>
      </c>
      <c r="B4" s="9" t="n">
        <v>0.03</v>
      </c>
    </row>
    <row r="5">
      <c r="A5" s="3" t="inlineStr">
        <is>
          <t>Interest Rate on Reserves:</t>
        </is>
      </c>
      <c r="B5" s="9" t="n">
        <v>0.01</v>
      </c>
    </row>
    <row r="6">
      <c r="A6" s="3" t="inlineStr">
        <is>
          <t>Floor Amount Per Unit:</t>
        </is>
      </c>
      <c r="B6" s="8" t="n">
        <v>350</v>
      </c>
    </row>
    <row r="7">
      <c r="A7" s="3" t="inlineStr">
        <is>
          <t>Number of Units:</t>
        </is>
      </c>
      <c r="B7" s="8" t="n">
        <v>136</v>
      </c>
    </row>
    <row r="8">
      <c r="A8" s="3" t="inlineStr">
        <is>
          <t>Total Floor Amount:</t>
        </is>
      </c>
      <c r="B8" s="10">
        <f>$B$6*$B$7</f>
        <v/>
      </c>
    </row>
    <row r="9">
      <c r="A9" s="6" t="inlineStr">
        <is>
          <t>Edit the yellow cells above to customize your plan. Total Floor = Per Unit Floor x Units.</t>
        </is>
      </c>
    </row>
    <row r="10">
      <c r="J10" s="2" t="inlineStr">
        <is>
          <t>DISBURSEMENT DETAIL</t>
        </is>
      </c>
    </row>
    <row r="11">
      <c r="A11" s="11" t="inlineStr">
        <is>
          <t>Year</t>
        </is>
      </c>
      <c r="B11" s="11" t="inlineStr">
        <is>
          <t>Opening Balance</t>
        </is>
      </c>
      <c r="C11" s="11" t="inlineStr">
        <is>
          <t>Annual Contribution</t>
        </is>
      </c>
      <c r="D11" s="11" t="inlineStr">
        <is>
          <t>Disbursement</t>
        </is>
      </c>
      <c r="E11" s="11" t="inlineStr">
        <is>
          <t>Interest Earned</t>
        </is>
      </c>
      <c r="F11" s="11" t="inlineStr">
        <is>
          <t>Closing Balance</t>
        </is>
      </c>
      <c r="G11" s="11" t="inlineStr">
        <is>
          <t>Monthly Cost/Unit</t>
        </is>
      </c>
      <c r="H11" s="11" t="inlineStr">
        <is>
          <t>Floor Check</t>
        </is>
      </c>
      <c r="J11" s="11" t="inlineStr">
        <is>
          <t>Aerator</t>
        </is>
      </c>
      <c r="K11" s="11" t="inlineStr">
        <is>
          <t>Asphalt Crack Filling</t>
        </is>
      </c>
      <c r="L11" s="11" t="inlineStr">
        <is>
          <t>Asphalt Paving (Roads)</t>
        </is>
      </c>
      <c r="M11" s="11" t="inlineStr">
        <is>
          <t>Bathroom Refurbishment</t>
        </is>
      </c>
      <c r="N11" s="11" t="inlineStr">
        <is>
          <t>Clubhouse Furniture</t>
        </is>
      </c>
      <c r="O11" s="11" t="inlineStr">
        <is>
          <t>Concrete Pool Apron</t>
        </is>
      </c>
      <c r="P11" s="11" t="inlineStr">
        <is>
          <t>Concrete Pool Coping</t>
        </is>
      </c>
      <c r="Q11" s="11" t="inlineStr">
        <is>
          <t>Concrete Sidewalks (HOA)</t>
        </is>
      </c>
      <c r="R11" s="11" t="inlineStr">
        <is>
          <t>Curbing, Concrete</t>
        </is>
      </c>
      <c r="S11" s="11" t="inlineStr">
        <is>
          <t>Entrance Sign - Large</t>
        </is>
      </c>
      <c r="T11" s="11" t="inlineStr">
        <is>
          <t>Entrance Sign - Small</t>
        </is>
      </c>
      <c r="U11" s="11" t="inlineStr">
        <is>
          <t>Fence, Vinyl Stockade</t>
        </is>
      </c>
      <c r="V11" s="11" t="inlineStr">
        <is>
          <t>Fence, Wood Split Rail</t>
        </is>
      </c>
      <c r="W11" s="11" t="inlineStr">
        <is>
          <t>Fire Alarm Control Panel</t>
        </is>
      </c>
      <c r="X11" s="11" t="inlineStr">
        <is>
          <t>Fitness Room Refurb</t>
        </is>
      </c>
      <c r="Y11" s="11" t="inlineStr">
        <is>
          <t>Gutters - Clubhouse</t>
        </is>
      </c>
      <c r="Z11" s="11" t="inlineStr">
        <is>
          <t>Hot Water Heater</t>
        </is>
      </c>
      <c r="AA11" s="11" t="inlineStr">
        <is>
          <t>Kitchen Refurbishment</t>
        </is>
      </c>
      <c r="AB11" s="11" t="inlineStr">
        <is>
          <t>Leaders - Clubhouse</t>
        </is>
      </c>
      <c r="AC11" s="11" t="inlineStr">
        <is>
          <t>Lights, Entrance Sign</t>
        </is>
      </c>
      <c r="AD11" s="11" t="inlineStr">
        <is>
          <t>Lights, Entry Clubhouse</t>
        </is>
      </c>
      <c r="AE11" s="11" t="inlineStr">
        <is>
          <t>Lights, Recessed</t>
        </is>
      </c>
      <c r="AF11" s="11" t="inlineStr">
        <is>
          <t>Lights, Street</t>
        </is>
      </c>
      <c r="AG11" s="11" t="inlineStr">
        <is>
          <t>Mailboxes</t>
        </is>
      </c>
      <c r="AH11" s="11" t="inlineStr">
        <is>
          <t>Pool Filter System</t>
        </is>
      </c>
      <c r="AI11" s="11" t="inlineStr">
        <is>
          <t>Roof - Clubhouse</t>
        </is>
      </c>
      <c r="AJ11" s="11" t="inlineStr">
        <is>
          <t>Seal Coating</t>
        </is>
      </c>
      <c r="AK11" s="11" t="inlineStr">
        <is>
          <t>Siding, Vinyl - Clubhouse</t>
        </is>
      </c>
      <c r="AL11" s="11" t="inlineStr">
        <is>
          <t>Skylights - Clubhouse</t>
        </is>
      </c>
      <c r="AM11" s="11" t="inlineStr">
        <is>
          <t>Stop Signs</t>
        </is>
      </c>
      <c r="AN11" s="11" t="inlineStr">
        <is>
          <t>Street Signs</t>
        </is>
      </c>
    </row>
    <row r="12">
      <c r="A12" s="12" t="n">
        <v>2026</v>
      </c>
      <c r="B12" s="13">
        <f>$B$2</f>
        <v/>
      </c>
      <c r="C12" s="13">
        <f>$B$3</f>
        <v/>
      </c>
      <c r="D12" s="14" t="n">
        <v>0</v>
      </c>
      <c r="E12" s="13">
        <f>B12*$B$5</f>
        <v/>
      </c>
      <c r="F12" s="13">
        <f>B12+C12-D12+E12</f>
        <v/>
      </c>
      <c r="G12" s="15">
        <f>C12/$B$7/12</f>
        <v/>
      </c>
      <c r="H12" s="16">
        <f>IF(F12&lt;$B$8,"BELOW FLOOR","")</f>
        <v/>
      </c>
    </row>
    <row r="13">
      <c r="A13" s="12" t="n">
        <v>2027</v>
      </c>
      <c r="B13" s="13">
        <f>F12</f>
        <v/>
      </c>
      <c r="C13" s="13">
        <f>C12*(1+$B$4)</f>
        <v/>
      </c>
      <c r="D13" s="14" t="n">
        <v>0</v>
      </c>
      <c r="E13" s="13">
        <f>B13*$B$5</f>
        <v/>
      </c>
      <c r="F13" s="13">
        <f>B13+C13-D13+E13</f>
        <v/>
      </c>
      <c r="G13" s="15">
        <f>C13/$B$7/12</f>
        <v/>
      </c>
      <c r="H13" s="16">
        <f>IF(F13&lt;$B$8,"BELOW FLOOR","")</f>
        <v/>
      </c>
    </row>
    <row r="14">
      <c r="A14" s="12" t="n">
        <v>2028</v>
      </c>
      <c r="B14" s="13">
        <f>F13</f>
        <v/>
      </c>
      <c r="C14" s="13">
        <f>C13*(1+$B$4)</f>
        <v/>
      </c>
      <c r="D14" s="14" t="n">
        <v>36067</v>
      </c>
      <c r="E14" s="13">
        <f>B14*$B$5</f>
        <v/>
      </c>
      <c r="F14" s="13">
        <f>B14+C14-D14+E14</f>
        <v/>
      </c>
      <c r="G14" s="15">
        <f>C14/$B$7/12</f>
        <v/>
      </c>
      <c r="H14" s="16">
        <f>IF(F14&lt;$B$8,"BELOW FLOOR","")</f>
        <v/>
      </c>
      <c r="K14" s="13" t="n">
        <v>15915</v>
      </c>
      <c r="Y14" s="13" t="n">
        <v>2652</v>
      </c>
      <c r="AJ14" s="13" t="n">
        <v>17500</v>
      </c>
    </row>
    <row r="15">
      <c r="A15" s="12" t="n">
        <v>2029</v>
      </c>
      <c r="B15" s="13">
        <f>F14</f>
        <v/>
      </c>
      <c r="C15" s="13">
        <f>C14*(1+$B$4)</f>
        <v/>
      </c>
      <c r="D15" s="14" t="n">
        <v>0</v>
      </c>
      <c r="E15" s="13">
        <f>B15*$B$5</f>
        <v/>
      </c>
      <c r="F15" s="13">
        <f>B15+C15-D15+E15</f>
        <v/>
      </c>
      <c r="G15" s="15">
        <f>C15/$B$7/12</f>
        <v/>
      </c>
      <c r="H15" s="16">
        <f>IF(F15&lt;$B$8,"BELOW FLOOR","")</f>
        <v/>
      </c>
    </row>
    <row r="16">
      <c r="A16" s="12" t="n">
        <v>2030</v>
      </c>
      <c r="B16" s="13">
        <f>F15</f>
        <v/>
      </c>
      <c r="C16" s="13">
        <f>C15*(1+$B$4)</f>
        <v/>
      </c>
      <c r="D16" s="14" t="n">
        <v>0</v>
      </c>
      <c r="E16" s="13">
        <f>B16*$B$5</f>
        <v/>
      </c>
      <c r="F16" s="13">
        <f>B16+C16-D16+E16</f>
        <v/>
      </c>
      <c r="G16" s="15">
        <f>C16/$B$7/12</f>
        <v/>
      </c>
      <c r="H16" s="16">
        <f>IF(F16&lt;$B$8,"BELOW FLOOR","")</f>
        <v/>
      </c>
    </row>
    <row r="17">
      <c r="A17" s="12" t="n">
        <v>2031</v>
      </c>
      <c r="B17" s="13">
        <f>F16</f>
        <v/>
      </c>
      <c r="C17" s="13">
        <f>C16*(1+$B$4)</f>
        <v/>
      </c>
      <c r="D17" s="14" t="n">
        <v>11477</v>
      </c>
      <c r="E17" s="13">
        <f>B17*$B$5</f>
        <v/>
      </c>
      <c r="F17" s="13">
        <f>B17+C17-D17+E17</f>
        <v/>
      </c>
      <c r="G17" s="15">
        <f>C17/$B$7/12</f>
        <v/>
      </c>
      <c r="H17" s="16">
        <f>IF(F17&lt;$B$8,"BELOW FLOOR","")</f>
        <v/>
      </c>
      <c r="P17" s="13" t="n">
        <v>11477</v>
      </c>
    </row>
    <row r="18">
      <c r="A18" s="12" t="n">
        <v>2032</v>
      </c>
      <c r="B18" s="13">
        <f>F17</f>
        <v/>
      </c>
      <c r="C18" s="13">
        <f>C17*(1+$B$4)</f>
        <v/>
      </c>
      <c r="D18" s="14" t="n">
        <v>24620</v>
      </c>
      <c r="E18" s="13">
        <f>B18*$B$5</f>
        <v/>
      </c>
      <c r="F18" s="13">
        <f>B18+C18-D18+E18</f>
        <v/>
      </c>
      <c r="G18" s="15">
        <f>C18/$B$7/12</f>
        <v/>
      </c>
      <c r="H18" s="16">
        <f>IF(F18&lt;$B$8,"BELOW FLOOR","")</f>
        <v/>
      </c>
      <c r="AB18" s="13" t="n">
        <v>597</v>
      </c>
      <c r="AI18" s="13" t="n">
        <v>18650</v>
      </c>
      <c r="AL18" s="13" t="n">
        <v>5373</v>
      </c>
    </row>
    <row r="19">
      <c r="A19" s="12" t="n">
        <v>2033</v>
      </c>
      <c r="B19" s="13">
        <f>F18</f>
        <v/>
      </c>
      <c r="C19" s="13">
        <f>C18*(1+$B$4)</f>
        <v/>
      </c>
      <c r="D19" s="14" t="n">
        <v>208222</v>
      </c>
      <c r="E19" s="13">
        <f>B19*$B$5</f>
        <v/>
      </c>
      <c r="F19" s="13">
        <f>B19+C19-D19+E19</f>
        <v/>
      </c>
      <c r="G19" s="15">
        <f>C19/$B$7/12</f>
        <v/>
      </c>
      <c r="H19" s="16">
        <f>IF(F19&lt;$B$8,"BELOW FLOOR","")</f>
        <v/>
      </c>
      <c r="K19" s="13" t="n">
        <v>18444</v>
      </c>
      <c r="M19" s="13" t="n">
        <v>12299</v>
      </c>
      <c r="Q19" s="13" t="n">
        <v>24723</v>
      </c>
      <c r="W19" s="13" t="n">
        <v>9839</v>
      </c>
      <c r="X19" s="13" t="n">
        <v>6149</v>
      </c>
      <c r="Z19" s="13" t="n">
        <v>3070</v>
      </c>
      <c r="AA19" s="13" t="n">
        <v>4305</v>
      </c>
      <c r="AE19" s="13" t="n">
        <v>6764</v>
      </c>
      <c r="AF19" s="13" t="n">
        <v>102325</v>
      </c>
      <c r="AJ19" s="13" t="n">
        <v>20304</v>
      </c>
    </row>
    <row r="20">
      <c r="A20" s="12" t="n">
        <v>2034</v>
      </c>
      <c r="B20" s="13">
        <f>F19</f>
        <v/>
      </c>
      <c r="C20" s="13">
        <f>C19*(1+$B$4)</f>
        <v/>
      </c>
      <c r="D20" s="14" t="n">
        <v>0</v>
      </c>
      <c r="E20" s="13">
        <f>B20*$B$5</f>
        <v/>
      </c>
      <c r="F20" s="13">
        <f>B20+C20-D20+E20</f>
        <v/>
      </c>
      <c r="G20" s="15">
        <f>C20/$B$7/12</f>
        <v/>
      </c>
      <c r="H20" s="16">
        <f>IF(F20&lt;$B$8,"BELOW FLOOR","")</f>
        <v/>
      </c>
    </row>
    <row r="21">
      <c r="A21" s="12" t="n">
        <v>2035</v>
      </c>
      <c r="B21" s="13">
        <f>F20</f>
        <v/>
      </c>
      <c r="C21" s="13">
        <f>C20*(1+$B$4)</f>
        <v/>
      </c>
      <c r="D21" s="14" t="n">
        <v>0</v>
      </c>
      <c r="E21" s="13">
        <f>B21*$B$5</f>
        <v/>
      </c>
      <c r="F21" s="13">
        <f>B21+C21-D21+E21</f>
        <v/>
      </c>
      <c r="G21" s="15">
        <f>C21/$B$7/12</f>
        <v/>
      </c>
      <c r="H21" s="16">
        <f>IF(F21&lt;$B$8,"BELOW FLOOR","")</f>
        <v/>
      </c>
    </row>
    <row r="22">
      <c r="A22" s="12" t="n">
        <v>2036</v>
      </c>
      <c r="B22" s="13">
        <f>F21</f>
        <v/>
      </c>
      <c r="C22" s="13">
        <f>C21*(1+$B$4)</f>
        <v/>
      </c>
      <c r="D22" s="14" t="n">
        <v>642321</v>
      </c>
      <c r="E22" s="13">
        <f>B22*$B$5</f>
        <v/>
      </c>
      <c r="F22" s="13">
        <f>B22+C22-D22+E22</f>
        <v/>
      </c>
      <c r="G22" s="15">
        <f>C22/$B$7/12</f>
        <v/>
      </c>
      <c r="H22" s="16">
        <f>IF(F22&lt;$B$8,"BELOW FLOOR","")</f>
        <v/>
      </c>
      <c r="J22" s="13" t="n">
        <v>7392</v>
      </c>
      <c r="L22" s="13" t="n">
        <v>443487</v>
      </c>
      <c r="N22" s="13" t="n">
        <v>20159</v>
      </c>
      <c r="O22" s="13" t="n">
        <v>105162</v>
      </c>
      <c r="R22" s="13" t="n">
        <v>47037</v>
      </c>
      <c r="AC22" s="13" t="n">
        <v>2016</v>
      </c>
      <c r="AD22" s="13" t="n">
        <v>3629</v>
      </c>
      <c r="AH22" s="13" t="n">
        <v>13439</v>
      </c>
    </row>
    <row r="23">
      <c r="A23" s="12" t="n">
        <v>2037</v>
      </c>
      <c r="B23" s="13">
        <f>F22</f>
        <v/>
      </c>
      <c r="C23" s="13">
        <f>C22*(1+$B$4)</f>
        <v/>
      </c>
      <c r="D23" s="14" t="n">
        <v>0</v>
      </c>
      <c r="E23" s="13">
        <f>B23*$B$5</f>
        <v/>
      </c>
      <c r="F23" s="13">
        <f>B23+C23-D23+E23</f>
        <v/>
      </c>
      <c r="G23" s="15">
        <f>C23/$B$7/12</f>
        <v/>
      </c>
      <c r="H23" s="16">
        <f>IF(F23&lt;$B$8,"BELOW FLOOR","")</f>
        <v/>
      </c>
    </row>
    <row r="24">
      <c r="A24" s="12" t="n">
        <v>2038</v>
      </c>
      <c r="B24" s="13">
        <f>F23</f>
        <v/>
      </c>
      <c r="C24" s="13">
        <f>C23*(1+$B$4)</f>
        <v/>
      </c>
      <c r="D24" s="14" t="n">
        <v>44915</v>
      </c>
      <c r="E24" s="13">
        <f>B24*$B$5</f>
        <v/>
      </c>
      <c r="F24" s="13">
        <f>B24+C24-D24+E24</f>
        <v/>
      </c>
      <c r="G24" s="15">
        <f>C24/$B$7/12</f>
        <v/>
      </c>
      <c r="H24" s="16">
        <f>IF(F24&lt;$B$8,"BELOW FLOOR","")</f>
        <v/>
      </c>
      <c r="K24" s="13" t="n">
        <v>21380</v>
      </c>
      <c r="AJ24" s="13" t="n">
        <v>23535</v>
      </c>
    </row>
    <row r="25">
      <c r="A25" s="12" t="n">
        <v>2039</v>
      </c>
      <c r="B25" s="13">
        <f>F24</f>
        <v/>
      </c>
      <c r="C25" s="13">
        <f>C24*(1+$B$4)</f>
        <v/>
      </c>
      <c r="D25" s="14" t="n">
        <v>0</v>
      </c>
      <c r="E25" s="13">
        <f>B25*$B$5</f>
        <v/>
      </c>
      <c r="F25" s="13">
        <f>B25+C25-D25+E25</f>
        <v/>
      </c>
      <c r="G25" s="15">
        <f>C25/$B$7/12</f>
        <v/>
      </c>
      <c r="H25" s="16">
        <f>IF(F25&lt;$B$8,"BELOW FLOOR","")</f>
        <v/>
      </c>
    </row>
    <row r="26">
      <c r="A26" s="12" t="n">
        <v>2040</v>
      </c>
      <c r="B26" s="13">
        <f>F25</f>
        <v/>
      </c>
      <c r="C26" s="13">
        <f>C25*(1+$B$4)</f>
        <v/>
      </c>
      <c r="D26" s="14" t="n">
        <v>0</v>
      </c>
      <c r="E26" s="13">
        <f>B26*$B$5</f>
        <v/>
      </c>
      <c r="F26" s="13">
        <f>B26+C26-D26+E26</f>
        <v/>
      </c>
      <c r="G26" s="15">
        <f>C26/$B$7/12</f>
        <v/>
      </c>
      <c r="H26" s="16">
        <f>IF(F26&lt;$B$8,"BELOW FLOOR","")</f>
        <v/>
      </c>
    </row>
    <row r="27">
      <c r="A27" s="12" t="n">
        <v>2041</v>
      </c>
      <c r="B27" s="13">
        <f>F26</f>
        <v/>
      </c>
      <c r="C27" s="13">
        <f>C26*(1+$B$4)</f>
        <v/>
      </c>
      <c r="D27" s="14" t="n">
        <v>190852</v>
      </c>
      <c r="E27" s="13">
        <f>B27*$B$5</f>
        <v/>
      </c>
      <c r="F27" s="13">
        <f>B27+C27-D27+E27</f>
        <v/>
      </c>
      <c r="G27" s="15">
        <f>C27/$B$7/12</f>
        <v/>
      </c>
      <c r="H27" s="16">
        <f>IF(F27&lt;$B$8,"BELOW FLOOR","")</f>
        <v/>
      </c>
      <c r="V27" s="13" t="n">
        <v>190852</v>
      </c>
    </row>
    <row r="28">
      <c r="A28" s="12" t="n">
        <v>2042</v>
      </c>
      <c r="B28" s="13">
        <f>F27</f>
        <v/>
      </c>
      <c r="C28" s="13">
        <f>C27*(1+$B$4)</f>
        <v/>
      </c>
      <c r="D28" s="14" t="n">
        <v>0</v>
      </c>
      <c r="E28" s="13">
        <f>B28*$B$5</f>
        <v/>
      </c>
      <c r="F28" s="13">
        <f>B28+C28-D28+E28</f>
        <v/>
      </c>
      <c r="G28" s="15">
        <f>C28/$B$7/12</f>
        <v/>
      </c>
      <c r="H28" s="16">
        <f>IF(F28&lt;$B$8,"BELOW FLOOR","")</f>
        <v/>
      </c>
    </row>
    <row r="29">
      <c r="A29" s="12" t="n">
        <v>2043</v>
      </c>
      <c r="B29" s="13">
        <f>F28</f>
        <v/>
      </c>
      <c r="C29" s="13">
        <f>C28*(1+$B$4)</f>
        <v/>
      </c>
      <c r="D29" s="14" t="n">
        <v>126440</v>
      </c>
      <c r="E29" s="13">
        <f>B29*$B$5</f>
        <v/>
      </c>
      <c r="F29" s="13">
        <f>B29+C29-D29+E29</f>
        <v/>
      </c>
      <c r="G29" s="15">
        <f>C29/$B$7/12</f>
        <v/>
      </c>
      <c r="H29" s="16">
        <f>IF(F29&lt;$B$8,"BELOW FLOOR","")</f>
        <v/>
      </c>
      <c r="K29" s="13" t="n">
        <v>24769</v>
      </c>
      <c r="U29" s="13" t="n">
        <v>70246</v>
      </c>
      <c r="Z29" s="13" t="n">
        <v>4151</v>
      </c>
      <c r="AJ29" s="13" t="n">
        <v>27274</v>
      </c>
    </row>
    <row r="30">
      <c r="A30" s="12" t="n">
        <v>2044</v>
      </c>
      <c r="B30" s="13">
        <f>F29</f>
        <v/>
      </c>
      <c r="C30" s="13">
        <f>C29*(1+$B$4)</f>
        <v/>
      </c>
      <c r="D30" s="14" t="n">
        <v>0</v>
      </c>
      <c r="E30" s="13">
        <f>B30*$B$5</f>
        <v/>
      </c>
      <c r="F30" s="13">
        <f>B30+C30-D30+E30</f>
        <v/>
      </c>
      <c r="G30" s="15">
        <f>C30/$B$7/12</f>
        <v/>
      </c>
      <c r="H30" s="16">
        <f>IF(F30&lt;$B$8,"BELOW FLOOR","")</f>
        <v/>
      </c>
    </row>
    <row r="31">
      <c r="A31" s="12" t="n">
        <v>2045</v>
      </c>
      <c r="B31" s="13">
        <f>F30</f>
        <v/>
      </c>
      <c r="C31" s="13">
        <f>C30*(1+$B$4)</f>
        <v/>
      </c>
      <c r="D31" s="14" t="n">
        <v>0</v>
      </c>
      <c r="E31" s="13">
        <f>B31*$B$5</f>
        <v/>
      </c>
      <c r="F31" s="13">
        <f>B31+C31-D31+E31</f>
        <v/>
      </c>
      <c r="G31" s="15">
        <f>C31/$B$7/12</f>
        <v/>
      </c>
      <c r="H31" s="16">
        <f>IF(F31&lt;$B$8,"BELOW FLOOR","")</f>
        <v/>
      </c>
    </row>
    <row r="32">
      <c r="A32" s="12" t="n">
        <v>2046</v>
      </c>
      <c r="B32" s="13">
        <f>F31</f>
        <v/>
      </c>
      <c r="C32" s="13">
        <f>C31*(1+$B$4)</f>
        <v/>
      </c>
      <c r="D32" s="14" t="n">
        <v>65922</v>
      </c>
      <c r="E32" s="13">
        <f>B32*$B$5</f>
        <v/>
      </c>
      <c r="F32" s="13">
        <f>B32+C32-D32+E32</f>
        <v/>
      </c>
      <c r="G32" s="15">
        <f>C32/$B$7/12</f>
        <v/>
      </c>
      <c r="H32" s="16">
        <f>IF(F32&lt;$B$8,"BELOW FLOOR","")</f>
        <v/>
      </c>
      <c r="S32" s="13" t="n">
        <v>36122</v>
      </c>
      <c r="T32" s="13" t="n">
        <v>21673</v>
      </c>
      <c r="AM32" s="13" t="n">
        <v>4515</v>
      </c>
      <c r="AN32" s="13" t="n">
        <v>3612</v>
      </c>
    </row>
    <row r="33">
      <c r="A33" s="12" t="n">
        <v>2047</v>
      </c>
      <c r="B33" s="13">
        <f>F32</f>
        <v/>
      </c>
      <c r="C33" s="13">
        <f>C32*(1+$B$4)</f>
        <v/>
      </c>
      <c r="D33" s="14" t="n">
        <v>0</v>
      </c>
      <c r="E33" s="13">
        <f>B33*$B$5</f>
        <v/>
      </c>
      <c r="F33" s="13">
        <f>B33+C33-D33+E33</f>
        <v/>
      </c>
      <c r="G33" s="15">
        <f>C33/$B$7/12</f>
        <v/>
      </c>
      <c r="H33" s="16">
        <f>IF(F33&lt;$B$8,"BELOW FLOOR","")</f>
        <v/>
      </c>
    </row>
    <row r="34">
      <c r="A34" s="12" t="n">
        <v>2048</v>
      </c>
      <c r="B34" s="13">
        <f>F33</f>
        <v/>
      </c>
      <c r="C34" s="13">
        <f>C33*(1+$B$4)</f>
        <v/>
      </c>
      <c r="D34" s="14" t="n">
        <v>117838</v>
      </c>
      <c r="E34" s="13">
        <f>B34*$B$5</f>
        <v/>
      </c>
      <c r="F34" s="13">
        <f>B34+C34-D34+E34</f>
        <v/>
      </c>
      <c r="G34" s="15">
        <f>C34/$B$7/12</f>
        <v/>
      </c>
      <c r="H34" s="16">
        <f>IF(F34&lt;$B$8,"BELOW FLOOR","")</f>
        <v/>
      </c>
      <c r="K34" s="13" t="n">
        <v>28702</v>
      </c>
      <c r="AJ34" s="13" t="n">
        <v>31654</v>
      </c>
      <c r="AK34" s="13" t="n">
        <v>57482</v>
      </c>
    </row>
    <row r="35">
      <c r="A35" s="12" t="n">
        <v>2049</v>
      </c>
      <c r="B35" s="13">
        <f>F34</f>
        <v/>
      </c>
      <c r="C35" s="13">
        <f>C34*(1+$B$4)</f>
        <v/>
      </c>
      <c r="D35" s="14" t="n">
        <v>40261</v>
      </c>
      <c r="E35" s="13">
        <f>B35*$B$5</f>
        <v/>
      </c>
      <c r="F35" s="13">
        <f>B35+C35-D35+E35</f>
        <v/>
      </c>
      <c r="G35" s="15">
        <f>C35/$B$7/12</f>
        <v/>
      </c>
      <c r="H35" s="16">
        <f>IF(F35&lt;$B$8,"BELOW FLOOR","")</f>
        <v/>
      </c>
      <c r="AG35" s="13" t="n">
        <v>40261</v>
      </c>
    </row>
    <row r="36">
      <c r="A36" s="12" t="n">
        <v>2050</v>
      </c>
      <c r="B36" s="13">
        <f>F35</f>
        <v/>
      </c>
      <c r="C36" s="13">
        <f>C35*(1+$B$4)</f>
        <v/>
      </c>
      <c r="D36" s="14" t="n">
        <v>0</v>
      </c>
      <c r="E36" s="13">
        <f>B36*$B$5</f>
        <v/>
      </c>
      <c r="F36" s="13">
        <f>B36+C36-D36+E36</f>
        <v/>
      </c>
      <c r="G36" s="15">
        <f>C36/$B$7/12</f>
        <v/>
      </c>
      <c r="H36" s="16">
        <f>IF(F36&lt;$B$8,"BELOW FLOOR","")</f>
        <v/>
      </c>
    </row>
    <row r="37">
      <c r="A37" s="17" t="inlineStr">
        <is>
          <t>TOTAL</t>
        </is>
      </c>
      <c r="C37" s="10">
        <f>SUM(C12:C36)</f>
        <v/>
      </c>
      <c r="D37" s="10">
        <f>SUM(D12:D36)</f>
        <v/>
      </c>
      <c r="E37" s="10">
        <f>SUM(E12:E36)</f>
        <v/>
      </c>
      <c r="J37" s="10">
        <f>SUM(J12:J36)</f>
        <v/>
      </c>
      <c r="K37" s="10">
        <f>SUM(K12:K36)</f>
        <v/>
      </c>
      <c r="L37" s="10">
        <f>SUM(L12:L36)</f>
        <v/>
      </c>
      <c r="M37" s="10">
        <f>SUM(M12:M36)</f>
        <v/>
      </c>
      <c r="N37" s="10">
        <f>SUM(N12:N36)</f>
        <v/>
      </c>
      <c r="O37" s="10">
        <f>SUM(O12:O36)</f>
        <v/>
      </c>
      <c r="P37" s="10">
        <f>SUM(P12:P36)</f>
        <v/>
      </c>
      <c r="Q37" s="10">
        <f>SUM(Q12:Q36)</f>
        <v/>
      </c>
      <c r="R37" s="10">
        <f>SUM(R12:R36)</f>
        <v/>
      </c>
      <c r="S37" s="10">
        <f>SUM(S12:S36)</f>
        <v/>
      </c>
      <c r="T37" s="10">
        <f>SUM(T12:T36)</f>
        <v/>
      </c>
      <c r="U37" s="10">
        <f>SUM(U12:U36)</f>
        <v/>
      </c>
      <c r="V37" s="10">
        <f>SUM(V12:V36)</f>
        <v/>
      </c>
      <c r="W37" s="10">
        <f>SUM(W12:W36)</f>
        <v/>
      </c>
      <c r="X37" s="10">
        <f>SUM(X12:X36)</f>
        <v/>
      </c>
      <c r="Y37" s="10">
        <f>SUM(Y12:Y36)</f>
        <v/>
      </c>
      <c r="Z37" s="10">
        <f>SUM(Z12:Z36)</f>
        <v/>
      </c>
      <c r="AA37" s="10">
        <f>SUM(AA12:AA36)</f>
        <v/>
      </c>
      <c r="AB37" s="10">
        <f>SUM(AB12:AB36)</f>
        <v/>
      </c>
      <c r="AC37" s="10">
        <f>SUM(AC12:AC36)</f>
        <v/>
      </c>
      <c r="AD37" s="10">
        <f>SUM(AD12:AD36)</f>
        <v/>
      </c>
      <c r="AE37" s="10">
        <f>SUM(AE12:AE36)</f>
        <v/>
      </c>
      <c r="AF37" s="10">
        <f>SUM(AF12:AF36)</f>
        <v/>
      </c>
      <c r="AG37" s="10">
        <f>SUM(AG12:AG36)</f>
        <v/>
      </c>
      <c r="AH37" s="10">
        <f>SUM(AH12:AH36)</f>
        <v/>
      </c>
      <c r="AI37" s="10">
        <f>SUM(AI12:AI36)</f>
        <v/>
      </c>
      <c r="AJ37" s="10">
        <f>SUM(AJ12:AJ36)</f>
        <v/>
      </c>
      <c r="AK37" s="10">
        <f>SUM(AK12:AK36)</f>
        <v/>
      </c>
      <c r="AL37" s="10">
        <f>SUM(AL12:AL36)</f>
        <v/>
      </c>
      <c r="AM37" s="10">
        <f>SUM(AM12:AM36)</f>
        <v/>
      </c>
      <c r="AN37" s="10">
        <f>SUM(AN12:AN36)</f>
        <v/>
      </c>
    </row>
  </sheetData>
  <mergeCells count="1">
    <mergeCell ref="A1:B1"/>
  </mergeCells>
  <conditionalFormatting sqref="F12:F36">
    <cfRule type="cellIs" priority="1" operator="lessThan" dxfId="0">
      <formula>$B$8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F8F00"/>
    <outlinePr summaryBelow="1" summaryRight="1"/>
    <pageSetUpPr/>
  </sheetPr>
  <dimension ref="A1:F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5" customWidth="1" min="1" max="1"/>
    <col width="22" customWidth="1" min="2" max="2"/>
    <col width="14" customWidth="1" min="3" max="3"/>
    <col width="22" customWidth="1" min="4" max="4"/>
    <col width="18" customWidth="1" min="5" max="5"/>
    <col width="26" customWidth="1" min="6" max="6"/>
  </cols>
  <sheetData>
    <row r="1">
      <c r="A1" s="1" t="inlineStr">
        <is>
          <t>Scarborough Glen HOA — Component Detail</t>
        </is>
      </c>
    </row>
    <row r="2">
      <c r="A2" s="6" t="inlineStr">
        <is>
          <t>All costs from Becht Engineering Capital Reserve Study (2026)</t>
        </is>
      </c>
    </row>
    <row r="4">
      <c r="A4" s="11" t="inlineStr">
        <is>
          <t>Component</t>
        </is>
      </c>
      <c r="B4" s="11" t="inlineStr">
        <is>
          <t>Becht Community Total</t>
        </is>
      </c>
      <c r="C4" s="11" t="inlineStr">
        <is>
          <t>Entity Share %</t>
        </is>
      </c>
      <c r="D4" s="11" t="inlineStr">
        <is>
          <t>Entity Allocated Cost</t>
        </is>
      </c>
      <c r="E4" s="11" t="inlineStr">
        <is>
          <t>Replacement Year</t>
        </is>
      </c>
      <c r="F4" s="11" t="inlineStr">
        <is>
          <t>Inflated Cost at Replacement</t>
        </is>
      </c>
    </row>
    <row r="5">
      <c r="A5" s="12" t="inlineStr">
        <is>
          <t>Aerator</t>
        </is>
      </c>
      <c r="B5" s="14" t="n">
        <v>5500</v>
      </c>
      <c r="C5" s="18" t="n">
        <v>1</v>
      </c>
      <c r="D5" s="14" t="n">
        <v>5500</v>
      </c>
      <c r="E5" s="12" t="n">
        <v>2036</v>
      </c>
      <c r="F5" s="14" t="n">
        <v>7392</v>
      </c>
    </row>
    <row r="6">
      <c r="A6" s="12" t="inlineStr">
        <is>
          <t>Asphalt Crack Filling</t>
        </is>
      </c>
      <c r="B6" s="14" t="n">
        <v>15000</v>
      </c>
      <c r="C6" s="18" t="n">
        <v>1</v>
      </c>
      <c r="D6" s="14" t="n">
        <v>15000</v>
      </c>
      <c r="E6" s="12" t="inlineStr">
        <is>
          <t>recurring</t>
        </is>
      </c>
      <c r="F6" s="12" t="inlineStr">
        <is>
          <t>Beyond plan horizon</t>
        </is>
      </c>
    </row>
    <row r="7">
      <c r="A7" s="12" t="inlineStr">
        <is>
          <t>Asphalt Paving (Roads)</t>
        </is>
      </c>
      <c r="B7" s="14" t="n">
        <v>330000</v>
      </c>
      <c r="C7" s="18" t="n">
        <v>1</v>
      </c>
      <c r="D7" s="14" t="n">
        <v>330000</v>
      </c>
      <c r="E7" s="12" t="n">
        <v>2036</v>
      </c>
      <c r="F7" s="14" t="n">
        <v>443487</v>
      </c>
    </row>
    <row r="8">
      <c r="A8" s="12" t="inlineStr">
        <is>
          <t>Bathroom Refurbishment (Clubhouse)</t>
        </is>
      </c>
      <c r="B8" s="14" t="n">
        <v>10000</v>
      </c>
      <c r="C8" s="18" t="n">
        <v>1</v>
      </c>
      <c r="D8" s="14" t="n">
        <v>10000</v>
      </c>
      <c r="E8" s="12" t="n">
        <v>2033</v>
      </c>
      <c r="F8" s="14" t="n">
        <v>12299</v>
      </c>
    </row>
    <row r="9">
      <c r="A9" s="12" t="inlineStr">
        <is>
          <t>Clubhouse Furniture</t>
        </is>
      </c>
      <c r="B9" s="14" t="n">
        <v>15000</v>
      </c>
      <c r="C9" s="18" t="n">
        <v>1</v>
      </c>
      <c r="D9" s="14" t="n">
        <v>15000</v>
      </c>
      <c r="E9" s="12" t="n">
        <v>2036</v>
      </c>
      <c r="F9" s="14" t="n">
        <v>20159</v>
      </c>
    </row>
    <row r="10">
      <c r="A10" s="12" t="inlineStr">
        <is>
          <t>Concrete Pool Apron</t>
        </is>
      </c>
      <c r="B10" s="14" t="n">
        <v>78250</v>
      </c>
      <c r="C10" s="18" t="n">
        <v>1</v>
      </c>
      <c r="D10" s="14" t="n">
        <v>78250</v>
      </c>
      <c r="E10" s="12" t="n">
        <v>2036</v>
      </c>
      <c r="F10" s="14" t="n">
        <v>105162</v>
      </c>
    </row>
    <row r="11">
      <c r="A11" s="12" t="inlineStr">
        <is>
          <t>Concrete Pool Coping</t>
        </is>
      </c>
      <c r="B11" s="14" t="n">
        <v>9900</v>
      </c>
      <c r="C11" s="18" t="n">
        <v>1</v>
      </c>
      <c r="D11" s="14" t="n">
        <v>9900</v>
      </c>
      <c r="E11" s="12" t="n">
        <v>2031</v>
      </c>
      <c r="F11" s="14" t="n">
        <v>11477</v>
      </c>
    </row>
    <row r="12">
      <c r="A12" s="12" t="inlineStr">
        <is>
          <t>Concrete Sidewalks (HOA share)</t>
        </is>
      </c>
      <c r="B12" s="14" t="n">
        <v>20103</v>
      </c>
      <c r="C12" s="18" t="n">
        <v>0.5710999999999999</v>
      </c>
      <c r="D12" s="14" t="n">
        <v>20103</v>
      </c>
      <c r="E12" s="12" t="n">
        <v>2033</v>
      </c>
      <c r="F12" s="14" t="n">
        <v>24723</v>
      </c>
    </row>
    <row r="13">
      <c r="A13" s="12" t="inlineStr">
        <is>
          <t>Curbing, Concrete</t>
        </is>
      </c>
      <c r="B13" s="14" t="n">
        <v>35000</v>
      </c>
      <c r="C13" s="18" t="n">
        <v>1</v>
      </c>
      <c r="D13" s="14" t="n">
        <v>35000</v>
      </c>
      <c r="E13" s="12" t="n">
        <v>2036</v>
      </c>
      <c r="F13" s="14" t="n">
        <v>47037</v>
      </c>
    </row>
    <row r="14">
      <c r="A14" s="12" t="inlineStr">
        <is>
          <t>Entrance Sign - Large</t>
        </is>
      </c>
      <c r="B14" s="14" t="n">
        <v>20000</v>
      </c>
      <c r="C14" s="18" t="n">
        <v>1</v>
      </c>
      <c r="D14" s="14" t="n">
        <v>20000</v>
      </c>
      <c r="E14" s="12" t="n">
        <v>2046</v>
      </c>
      <c r="F14" s="14" t="n">
        <v>36122</v>
      </c>
    </row>
    <row r="15">
      <c r="A15" s="12" t="inlineStr">
        <is>
          <t>Entrance Sign - Small</t>
        </is>
      </c>
      <c r="B15" s="14" t="n">
        <v>12000</v>
      </c>
      <c r="C15" s="18" t="n">
        <v>1</v>
      </c>
      <c r="D15" s="14" t="n">
        <v>12000</v>
      </c>
      <c r="E15" s="12" t="n">
        <v>2046</v>
      </c>
      <c r="F15" s="14" t="n">
        <v>21673</v>
      </c>
    </row>
    <row r="16">
      <c r="A16" s="12" t="inlineStr">
        <is>
          <t>Fence, Vinyl Stockade</t>
        </is>
      </c>
      <c r="B16" s="14" t="n">
        <v>42500</v>
      </c>
      <c r="C16" s="18" t="n">
        <v>1</v>
      </c>
      <c r="D16" s="14" t="n">
        <v>42500</v>
      </c>
      <c r="E16" s="12" t="n">
        <v>2043</v>
      </c>
      <c r="F16" s="14" t="n">
        <v>70246</v>
      </c>
    </row>
    <row r="17">
      <c r="A17" s="12" t="inlineStr">
        <is>
          <t>Fence, Wood Split Rail</t>
        </is>
      </c>
      <c r="B17" s="14" t="n">
        <v>122500</v>
      </c>
      <c r="C17" s="18" t="n">
        <v>1</v>
      </c>
      <c r="D17" s="14" t="n">
        <v>122500</v>
      </c>
      <c r="E17" s="12" t="n">
        <v>2041</v>
      </c>
      <c r="F17" s="14" t="n">
        <v>190852</v>
      </c>
    </row>
    <row r="18">
      <c r="A18" s="12" t="inlineStr">
        <is>
          <t>Fire Alarm Control Panel</t>
        </is>
      </c>
      <c r="B18" s="14" t="n">
        <v>8000</v>
      </c>
      <c r="C18" s="18" t="n">
        <v>1</v>
      </c>
      <c r="D18" s="14" t="n">
        <v>8000</v>
      </c>
      <c r="E18" s="12" t="n">
        <v>2033</v>
      </c>
      <c r="F18" s="14" t="n">
        <v>9839</v>
      </c>
    </row>
    <row r="19">
      <c r="A19" s="12" t="inlineStr">
        <is>
          <t>Fitness Room Refurbishment</t>
        </is>
      </c>
      <c r="B19" s="14" t="n">
        <v>5000</v>
      </c>
      <c r="C19" s="18" t="n">
        <v>1</v>
      </c>
      <c r="D19" s="14" t="n">
        <v>5000</v>
      </c>
      <c r="E19" s="12" t="n">
        <v>2033</v>
      </c>
      <c r="F19" s="14" t="n">
        <v>6149</v>
      </c>
    </row>
    <row r="20">
      <c r="A20" s="12" t="inlineStr">
        <is>
          <t>Gutters - Clubhouse</t>
        </is>
      </c>
      <c r="B20" s="14" t="n">
        <v>2500</v>
      </c>
      <c r="C20" s="18" t="n">
        <v>1</v>
      </c>
      <c r="D20" s="14" t="n">
        <v>2500</v>
      </c>
      <c r="E20" s="12" t="n">
        <v>2028</v>
      </c>
      <c r="F20" s="14" t="n">
        <v>2652</v>
      </c>
    </row>
    <row r="21">
      <c r="A21" s="12" t="inlineStr">
        <is>
          <t>Hot Water Heater</t>
        </is>
      </c>
      <c r="B21" s="14" t="n">
        <v>2500</v>
      </c>
      <c r="C21" s="18" t="n">
        <v>1</v>
      </c>
      <c r="D21" s="14" t="n">
        <v>2500</v>
      </c>
      <c r="E21" s="12" t="inlineStr">
        <is>
          <t>recurring</t>
        </is>
      </c>
      <c r="F21" s="12" t="inlineStr">
        <is>
          <t>Beyond plan horizon</t>
        </is>
      </c>
    </row>
    <row r="22">
      <c r="A22" s="12" t="inlineStr">
        <is>
          <t>Kitchen Refurbishment</t>
        </is>
      </c>
      <c r="B22" s="14" t="n">
        <v>3500</v>
      </c>
      <c r="C22" s="18" t="n">
        <v>1</v>
      </c>
      <c r="D22" s="14" t="n">
        <v>3500</v>
      </c>
      <c r="E22" s="12" t="n">
        <v>2033</v>
      </c>
      <c r="F22" s="14" t="n">
        <v>4305</v>
      </c>
    </row>
    <row r="23">
      <c r="A23" s="12" t="inlineStr">
        <is>
          <t>Leaders - Clubhouse</t>
        </is>
      </c>
      <c r="B23" s="14" t="n">
        <v>500</v>
      </c>
      <c r="C23" s="18" t="n">
        <v>1</v>
      </c>
      <c r="D23" s="14" t="n">
        <v>500</v>
      </c>
      <c r="E23" s="12" t="n">
        <v>2032</v>
      </c>
      <c r="F23" s="14" t="n">
        <v>597</v>
      </c>
    </row>
    <row r="24">
      <c r="A24" s="12" t="inlineStr">
        <is>
          <t>Lights, Entry Clubhouse</t>
        </is>
      </c>
      <c r="B24" s="14" t="n">
        <v>2700</v>
      </c>
      <c r="C24" s="18" t="n">
        <v>1</v>
      </c>
      <c r="D24" s="14" t="n">
        <v>2700</v>
      </c>
      <c r="E24" s="12" t="n">
        <v>2036</v>
      </c>
      <c r="F24" s="14" t="n">
        <v>3629</v>
      </c>
    </row>
    <row r="25">
      <c r="A25" s="12" t="inlineStr">
        <is>
          <t>Lights, Entrance Sign</t>
        </is>
      </c>
      <c r="B25" s="14" t="n">
        <v>1500</v>
      </c>
      <c r="C25" s="18" t="n">
        <v>1</v>
      </c>
      <c r="D25" s="14" t="n">
        <v>1500</v>
      </c>
      <c r="E25" s="12" t="n">
        <v>2036</v>
      </c>
      <c r="F25" s="14" t="n">
        <v>2016</v>
      </c>
    </row>
    <row r="26">
      <c r="A26" s="12" t="inlineStr">
        <is>
          <t>Lights, Recessed</t>
        </is>
      </c>
      <c r="B26" s="14" t="n">
        <v>5500</v>
      </c>
      <c r="C26" s="18" t="n">
        <v>1</v>
      </c>
      <c r="D26" s="14" t="n">
        <v>5500</v>
      </c>
      <c r="E26" s="12" t="n">
        <v>2033</v>
      </c>
      <c r="F26" s="14" t="n">
        <v>6764</v>
      </c>
    </row>
    <row r="27">
      <c r="A27" s="12" t="inlineStr">
        <is>
          <t>Lights, Street</t>
        </is>
      </c>
      <c r="B27" s="14" t="n">
        <v>83200</v>
      </c>
      <c r="C27" s="18" t="n">
        <v>1</v>
      </c>
      <c r="D27" s="14" t="n">
        <v>83200</v>
      </c>
      <c r="E27" s="12" t="n">
        <v>2033</v>
      </c>
      <c r="F27" s="14" t="n">
        <v>102325</v>
      </c>
    </row>
    <row r="28">
      <c r="A28" s="12" t="inlineStr">
        <is>
          <t>Mailboxes</t>
        </is>
      </c>
      <c r="B28" s="14" t="n">
        <v>20400</v>
      </c>
      <c r="C28" s="18" t="n">
        <v>1</v>
      </c>
      <c r="D28" s="14" t="n">
        <v>20400</v>
      </c>
      <c r="E28" s="12" t="n">
        <v>2049</v>
      </c>
      <c r="F28" s="14" t="n">
        <v>40261</v>
      </c>
    </row>
    <row r="29">
      <c r="A29" s="12" t="inlineStr">
        <is>
          <t>Pool Filter System</t>
        </is>
      </c>
      <c r="B29" s="14" t="n">
        <v>10000</v>
      </c>
      <c r="C29" s="18" t="n">
        <v>1</v>
      </c>
      <c r="D29" s="14" t="n">
        <v>10000</v>
      </c>
      <c r="E29" s="12" t="n">
        <v>2036</v>
      </c>
      <c r="F29" s="14" t="n">
        <v>13439</v>
      </c>
    </row>
    <row r="30">
      <c r="A30" s="12" t="inlineStr">
        <is>
          <t>Roof, Shingles - Clubhouse</t>
        </is>
      </c>
      <c r="B30" s="14" t="n">
        <v>15620</v>
      </c>
      <c r="C30" s="18" t="n">
        <v>1</v>
      </c>
      <c r="D30" s="14" t="n">
        <v>15620</v>
      </c>
      <c r="E30" s="12" t="n">
        <v>2032</v>
      </c>
      <c r="F30" s="14" t="n">
        <v>18650</v>
      </c>
    </row>
    <row r="31">
      <c r="A31" s="12" t="inlineStr">
        <is>
          <t>Seal Coating</t>
        </is>
      </c>
      <c r="B31" s="14" t="n">
        <v>16500</v>
      </c>
      <c r="C31" s="18" t="n">
        <v>1</v>
      </c>
      <c r="D31" s="14" t="n">
        <v>16500</v>
      </c>
      <c r="E31" s="12" t="inlineStr">
        <is>
          <t>recurring</t>
        </is>
      </c>
      <c r="F31" s="12" t="inlineStr">
        <is>
          <t>Beyond plan horizon</t>
        </is>
      </c>
    </row>
    <row r="32">
      <c r="A32" s="12" t="inlineStr">
        <is>
          <t>Siding, Vinyl - Clubhouse</t>
        </is>
      </c>
      <c r="B32" s="14" t="n">
        <v>30000</v>
      </c>
      <c r="C32" s="18" t="n">
        <v>1</v>
      </c>
      <c r="D32" s="14" t="n">
        <v>30000</v>
      </c>
      <c r="E32" s="12" t="n">
        <v>2048</v>
      </c>
      <c r="F32" s="14" t="n">
        <v>57482</v>
      </c>
    </row>
    <row r="33">
      <c r="A33" s="12" t="inlineStr">
        <is>
          <t>Skylights - Clubhouse</t>
        </is>
      </c>
      <c r="B33" s="14" t="n">
        <v>4500</v>
      </c>
      <c r="C33" s="18" t="n">
        <v>1</v>
      </c>
      <c r="D33" s="14" t="n">
        <v>4500</v>
      </c>
      <c r="E33" s="12" t="n">
        <v>2032</v>
      </c>
      <c r="F33" s="14" t="n">
        <v>5373</v>
      </c>
    </row>
    <row r="34">
      <c r="A34" s="12" t="inlineStr">
        <is>
          <t>Stop Signs</t>
        </is>
      </c>
      <c r="B34" s="14" t="n">
        <v>2500</v>
      </c>
      <c r="C34" s="18" t="n">
        <v>1</v>
      </c>
      <c r="D34" s="14" t="n">
        <v>2500</v>
      </c>
      <c r="E34" s="12" t="n">
        <v>2046</v>
      </c>
      <c r="F34" s="14" t="n">
        <v>4515</v>
      </c>
    </row>
    <row r="35">
      <c r="A35" s="12" t="inlineStr">
        <is>
          <t>Street Signs</t>
        </is>
      </c>
      <c r="B35" s="14" t="n">
        <v>2000</v>
      </c>
      <c r="C35" s="18" t="n">
        <v>1</v>
      </c>
      <c r="D35" s="14" t="n">
        <v>2000</v>
      </c>
      <c r="E35" s="12" t="n">
        <v>2046</v>
      </c>
      <c r="F35" s="14" t="n">
        <v>3612</v>
      </c>
    </row>
    <row r="36">
      <c r="A36" s="12" t="inlineStr">
        <is>
          <t>Windows, Dbl Hung Double - Clubhouse</t>
        </is>
      </c>
      <c r="B36" s="14" t="n">
        <v>4000</v>
      </c>
      <c r="C36" s="18" t="n">
        <v>1</v>
      </c>
      <c r="D36" s="14" t="n">
        <v>4000</v>
      </c>
      <c r="E36" s="12" t="inlineStr">
        <is>
          <t>2053 (beyond plan)</t>
        </is>
      </c>
      <c r="F36" s="12" t="inlineStr">
        <is>
          <t>Beyond plan horizon</t>
        </is>
      </c>
    </row>
    <row r="37">
      <c r="A37" s="12" t="inlineStr">
        <is>
          <t>Windows, Dbl Hung Single - Clubhouse</t>
        </is>
      </c>
      <c r="B37" s="14" t="n">
        <v>2000</v>
      </c>
      <c r="C37" s="18" t="n">
        <v>1</v>
      </c>
      <c r="D37" s="14" t="n">
        <v>2000</v>
      </c>
      <c r="E37" s="12" t="inlineStr">
        <is>
          <t>2053 (beyond plan)</t>
        </is>
      </c>
      <c r="F37" s="12" t="inlineStr">
        <is>
          <t>Beyond plan horizon</t>
        </is>
      </c>
    </row>
    <row r="38">
      <c r="A38" s="12" t="inlineStr">
        <is>
          <t>Windows, Transom</t>
        </is>
      </c>
      <c r="B38" s="14" t="n">
        <v>1500</v>
      </c>
      <c r="C38" s="18" t="n">
        <v>1</v>
      </c>
      <c r="D38" s="14" t="n">
        <v>1500</v>
      </c>
      <c r="E38" s="12" t="inlineStr">
        <is>
          <t>2053 (beyond plan)</t>
        </is>
      </c>
      <c r="F38" s="12" t="inlineStr">
        <is>
          <t>Beyond plan horizon</t>
        </is>
      </c>
    </row>
    <row r="39">
      <c r="A39" s="17" t="inlineStr">
        <is>
          <t>TOTAL</t>
        </is>
      </c>
      <c r="D39" s="10" t="n">
        <v>945673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AJ33"/>
  <sheetViews>
    <sheetView workbookViewId="0">
      <selection activeCell="A1" sqref="A1"/>
    </sheetView>
  </sheetViews>
  <sheetFormatPr baseColWidth="8" defaultRowHeight="15"/>
  <cols>
    <col width="10" customWidth="1" min="1" max="1"/>
    <col width="35" customWidth="1" min="2" max="2"/>
    <col width="16" customWidth="1" min="3" max="3"/>
    <col width="8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</cols>
  <sheetData>
    <row r="1">
      <c r="A1" s="2" t="inlineStr">
        <is>
          <t>COLOR KEY</t>
        </is>
      </c>
      <c r="E1" s="2" t="inlineStr">
        <is>
          <t>CHART DATA</t>
        </is>
      </c>
    </row>
    <row r="2">
      <c r="A2" s="3" t="inlineStr">
        <is>
          <t>Color</t>
        </is>
      </c>
      <c r="B2" s="3" t="inlineStr">
        <is>
          <t>Component</t>
        </is>
      </c>
      <c r="C2" s="3" t="inlineStr">
        <is>
          <t>25-Year Total</t>
        </is>
      </c>
      <c r="E2" s="3" t="inlineStr">
        <is>
          <t>Year</t>
        </is>
      </c>
      <c r="F2" s="3" t="inlineStr">
        <is>
          <t>Aerator</t>
        </is>
      </c>
      <c r="G2" s="3" t="inlineStr">
        <is>
          <t>Asphalt Crack Filling</t>
        </is>
      </c>
      <c r="H2" s="3" t="inlineStr">
        <is>
          <t>Asphalt Paving (Roads)</t>
        </is>
      </c>
      <c r="I2" s="3" t="inlineStr">
        <is>
          <t>Bathroom Refurbishment</t>
        </is>
      </c>
      <c r="J2" s="3" t="inlineStr">
        <is>
          <t>Clubhouse Furniture</t>
        </is>
      </c>
      <c r="K2" s="3" t="inlineStr">
        <is>
          <t>Concrete Pool Apron</t>
        </is>
      </c>
      <c r="L2" s="3" t="inlineStr">
        <is>
          <t>Concrete Pool Coping</t>
        </is>
      </c>
      <c r="M2" s="3" t="inlineStr">
        <is>
          <t>Concrete Sidewalks (HOA)</t>
        </is>
      </c>
      <c r="N2" s="3" t="inlineStr">
        <is>
          <t>Curbing, Concrete</t>
        </is>
      </c>
      <c r="O2" s="3" t="inlineStr">
        <is>
          <t>Entrance Sign - Large</t>
        </is>
      </c>
      <c r="P2" s="3" t="inlineStr">
        <is>
          <t>Entrance Sign - Small</t>
        </is>
      </c>
      <c r="Q2" s="3" t="inlineStr">
        <is>
          <t>Fence, Vinyl Stockade</t>
        </is>
      </c>
      <c r="R2" s="3" t="inlineStr">
        <is>
          <t>Fence, Wood Split Rail</t>
        </is>
      </c>
      <c r="S2" s="3" t="inlineStr">
        <is>
          <t>Fire Alarm Control Panel</t>
        </is>
      </c>
      <c r="T2" s="3" t="inlineStr">
        <is>
          <t>Fitness Room Refurb</t>
        </is>
      </c>
      <c r="U2" s="3" t="inlineStr">
        <is>
          <t>Gutters - Clubhouse</t>
        </is>
      </c>
      <c r="V2" s="3" t="inlineStr">
        <is>
          <t>Hot Water Heater</t>
        </is>
      </c>
      <c r="W2" s="3" t="inlineStr">
        <is>
          <t>Kitchen Refurbishment</t>
        </is>
      </c>
      <c r="X2" s="3" t="inlineStr">
        <is>
          <t>Leaders - Clubhouse</t>
        </is>
      </c>
      <c r="Y2" s="3" t="inlineStr">
        <is>
          <t>Lights, Entrance Sign</t>
        </is>
      </c>
      <c r="Z2" s="3" t="inlineStr">
        <is>
          <t>Lights, Entry Clubhouse</t>
        </is>
      </c>
      <c r="AA2" s="3" t="inlineStr">
        <is>
          <t>Lights, Recessed</t>
        </is>
      </c>
      <c r="AB2" s="3" t="inlineStr">
        <is>
          <t>Lights, Street</t>
        </is>
      </c>
      <c r="AC2" s="3" t="inlineStr">
        <is>
          <t>Mailboxes</t>
        </is>
      </c>
      <c r="AD2" s="3" t="inlineStr">
        <is>
          <t>Pool Filter System</t>
        </is>
      </c>
      <c r="AE2" s="3" t="inlineStr">
        <is>
          <t>Roof - Clubhouse</t>
        </is>
      </c>
      <c r="AF2" s="3" t="inlineStr">
        <is>
          <t>Seal Coating</t>
        </is>
      </c>
      <c r="AG2" s="3" t="inlineStr">
        <is>
          <t>Siding, Vinyl - Clubhouse</t>
        </is>
      </c>
      <c r="AH2" s="3" t="inlineStr">
        <is>
          <t>Skylights - Clubhouse</t>
        </is>
      </c>
      <c r="AI2" s="3" t="inlineStr">
        <is>
          <t>Stop Signs</t>
        </is>
      </c>
      <c r="AJ2" s="3" t="inlineStr">
        <is>
          <t>Street Signs</t>
        </is>
      </c>
    </row>
    <row r="3">
      <c r="A3" s="19" t="n"/>
      <c r="B3" s="12" t="inlineStr">
        <is>
          <t>Aerator</t>
        </is>
      </c>
      <c r="C3" s="14" t="n">
        <v>7392</v>
      </c>
      <c r="E3" t="n">
        <v>2028</v>
      </c>
      <c r="G3" s="20" t="n">
        <v>15915</v>
      </c>
      <c r="U3" s="20" t="n">
        <v>2652</v>
      </c>
      <c r="AF3" s="20" t="n">
        <v>17500</v>
      </c>
    </row>
    <row r="4">
      <c r="A4" s="21" t="n"/>
      <c r="B4" s="12" t="inlineStr">
        <is>
          <t>Asphalt Crack Filling</t>
        </is>
      </c>
      <c r="C4" s="14" t="n">
        <v>109210</v>
      </c>
      <c r="E4" t="n">
        <v>2031</v>
      </c>
      <c r="L4" s="20" t="n">
        <v>11477</v>
      </c>
    </row>
    <row r="5">
      <c r="A5" s="22" t="n"/>
      <c r="B5" s="12" t="inlineStr">
        <is>
          <t>Asphalt Paving (Roads)</t>
        </is>
      </c>
      <c r="C5" s="14" t="n">
        <v>443487</v>
      </c>
      <c r="E5" t="n">
        <v>2032</v>
      </c>
      <c r="X5" s="20" t="n">
        <v>597</v>
      </c>
      <c r="AE5" s="20" t="n">
        <v>18650</v>
      </c>
      <c r="AH5" s="20" t="n">
        <v>5373</v>
      </c>
    </row>
    <row r="6">
      <c r="A6" s="23" t="n"/>
      <c r="B6" s="12" t="inlineStr">
        <is>
          <t>Bathroom Refurbishment</t>
        </is>
      </c>
      <c r="C6" s="14" t="n">
        <v>12299</v>
      </c>
      <c r="E6" t="n">
        <v>2033</v>
      </c>
      <c r="G6" s="20" t="n">
        <v>18444</v>
      </c>
      <c r="I6" s="20" t="n">
        <v>12299</v>
      </c>
      <c r="M6" s="20" t="n">
        <v>24723</v>
      </c>
      <c r="S6" s="20" t="n">
        <v>9839</v>
      </c>
      <c r="T6" s="20" t="n">
        <v>6149</v>
      </c>
      <c r="V6" s="20" t="n">
        <v>3070</v>
      </c>
      <c r="W6" s="20" t="n">
        <v>4305</v>
      </c>
      <c r="AA6" s="20" t="n">
        <v>6764</v>
      </c>
      <c r="AB6" s="20" t="n">
        <v>102325</v>
      </c>
      <c r="AF6" s="20" t="n">
        <v>20304</v>
      </c>
    </row>
    <row r="7">
      <c r="A7" s="24" t="n"/>
      <c r="B7" s="12" t="inlineStr">
        <is>
          <t>Clubhouse Furniture</t>
        </is>
      </c>
      <c r="C7" s="14" t="n">
        <v>20159</v>
      </c>
      <c r="E7" t="n">
        <v>2036</v>
      </c>
      <c r="F7" s="20" t="n">
        <v>7392</v>
      </c>
      <c r="H7" s="20" t="n">
        <v>443487</v>
      </c>
      <c r="J7" s="20" t="n">
        <v>20159</v>
      </c>
      <c r="K7" s="20" t="n">
        <v>105162</v>
      </c>
      <c r="N7" s="20" t="n">
        <v>47037</v>
      </c>
      <c r="Y7" s="20" t="n">
        <v>2016</v>
      </c>
      <c r="Z7" s="20" t="n">
        <v>3629</v>
      </c>
      <c r="AD7" s="20" t="n">
        <v>13439</v>
      </c>
    </row>
    <row r="8">
      <c r="A8" s="25" t="n"/>
      <c r="B8" s="12" t="inlineStr">
        <is>
          <t>Concrete Pool Apron</t>
        </is>
      </c>
      <c r="C8" s="14" t="n">
        <v>105162</v>
      </c>
      <c r="E8" t="n">
        <v>2038</v>
      </c>
      <c r="G8" s="20" t="n">
        <v>21380</v>
      </c>
      <c r="AF8" s="20" t="n">
        <v>23535</v>
      </c>
    </row>
    <row r="9">
      <c r="A9" s="26" t="n"/>
      <c r="B9" s="12" t="inlineStr">
        <is>
          <t>Concrete Pool Coping</t>
        </is>
      </c>
      <c r="C9" s="14" t="n">
        <v>11477</v>
      </c>
      <c r="E9" t="n">
        <v>2041</v>
      </c>
      <c r="R9" s="20" t="n">
        <v>190852</v>
      </c>
    </row>
    <row r="10">
      <c r="A10" s="27" t="n"/>
      <c r="B10" s="12" t="inlineStr">
        <is>
          <t>Concrete Sidewalks (HOA)</t>
        </is>
      </c>
      <c r="C10" s="14" t="n">
        <v>24723</v>
      </c>
      <c r="E10" t="n">
        <v>2043</v>
      </c>
      <c r="G10" s="20" t="n">
        <v>24769</v>
      </c>
      <c r="Q10" s="20" t="n">
        <v>70246</v>
      </c>
      <c r="V10" s="20" t="n">
        <v>4151</v>
      </c>
      <c r="AF10" s="20" t="n">
        <v>27274</v>
      </c>
    </row>
    <row r="11">
      <c r="A11" s="28" t="n"/>
      <c r="B11" s="12" t="inlineStr">
        <is>
          <t>Curbing, Concrete</t>
        </is>
      </c>
      <c r="C11" s="14" t="n">
        <v>47037</v>
      </c>
      <c r="E11" t="n">
        <v>2046</v>
      </c>
      <c r="O11" s="20" t="n">
        <v>36122</v>
      </c>
      <c r="P11" s="20" t="n">
        <v>21673</v>
      </c>
      <c r="AI11" s="20" t="n">
        <v>4515</v>
      </c>
      <c r="AJ11" s="20" t="n">
        <v>3612</v>
      </c>
    </row>
    <row r="12">
      <c r="A12" s="29" t="n"/>
      <c r="B12" s="12" t="inlineStr">
        <is>
          <t>Entrance Sign - Large</t>
        </is>
      </c>
      <c r="C12" s="14" t="n">
        <v>36122</v>
      </c>
      <c r="E12" t="n">
        <v>2048</v>
      </c>
      <c r="G12" s="20" t="n">
        <v>28702</v>
      </c>
      <c r="AF12" s="20" t="n">
        <v>31654</v>
      </c>
      <c r="AG12" s="20" t="n">
        <v>57482</v>
      </c>
    </row>
    <row r="13">
      <c r="A13" s="30" t="n"/>
      <c r="B13" s="12" t="inlineStr">
        <is>
          <t>Entrance Sign - Small</t>
        </is>
      </c>
      <c r="C13" s="14" t="n">
        <v>21673</v>
      </c>
      <c r="E13" t="n">
        <v>2049</v>
      </c>
      <c r="AC13" s="20" t="n">
        <v>40261</v>
      </c>
    </row>
    <row r="14">
      <c r="A14" s="31" t="n"/>
      <c r="B14" s="12" t="inlineStr">
        <is>
          <t>Fence, Vinyl Stockade</t>
        </is>
      </c>
      <c r="C14" s="14" t="n">
        <v>70246</v>
      </c>
    </row>
    <row r="15">
      <c r="A15" s="32" t="n"/>
      <c r="B15" s="12" t="inlineStr">
        <is>
          <t>Fence, Wood Split Rail</t>
        </is>
      </c>
      <c r="C15" s="14" t="n">
        <v>190852</v>
      </c>
    </row>
    <row r="16">
      <c r="A16" s="33" t="n"/>
      <c r="B16" s="12" t="inlineStr">
        <is>
          <t>Fire Alarm Control Panel</t>
        </is>
      </c>
      <c r="C16" s="14" t="n">
        <v>9839</v>
      </c>
    </row>
    <row r="17">
      <c r="A17" s="34" t="n"/>
      <c r="B17" s="12" t="inlineStr">
        <is>
          <t>Fitness Room Refurb</t>
        </is>
      </c>
      <c r="C17" s="14" t="n">
        <v>6149</v>
      </c>
    </row>
    <row r="18">
      <c r="A18" s="35" t="n"/>
      <c r="B18" s="12" t="inlineStr">
        <is>
          <t>Gutters - Clubhouse</t>
        </is>
      </c>
      <c r="C18" s="14" t="n">
        <v>2652</v>
      </c>
    </row>
    <row r="19">
      <c r="A19" s="36" t="n"/>
      <c r="B19" s="12" t="inlineStr">
        <is>
          <t>Hot Water Heater</t>
        </is>
      </c>
      <c r="C19" s="14" t="n">
        <v>7221</v>
      </c>
    </row>
    <row r="20">
      <c r="A20" s="37" t="n"/>
      <c r="B20" s="12" t="inlineStr">
        <is>
          <t>Kitchen Refurbishment</t>
        </is>
      </c>
      <c r="C20" s="14" t="n">
        <v>4305</v>
      </c>
    </row>
    <row r="21">
      <c r="A21" s="38" t="n"/>
      <c r="B21" s="12" t="inlineStr">
        <is>
          <t>Leaders - Clubhouse</t>
        </is>
      </c>
      <c r="C21" s="14" t="n">
        <v>597</v>
      </c>
    </row>
    <row r="22">
      <c r="A22" s="39" t="n"/>
      <c r="B22" s="12" t="inlineStr">
        <is>
          <t>Lights, Entrance Sign</t>
        </is>
      </c>
      <c r="C22" s="14" t="n">
        <v>2016</v>
      </c>
    </row>
    <row r="23">
      <c r="A23" s="40" t="n"/>
      <c r="B23" s="12" t="inlineStr">
        <is>
          <t>Lights, Entry Clubhouse</t>
        </is>
      </c>
      <c r="C23" s="14" t="n">
        <v>3629</v>
      </c>
    </row>
    <row r="24">
      <c r="A24" s="41" t="n"/>
      <c r="B24" s="12" t="inlineStr">
        <is>
          <t>Lights, Recessed</t>
        </is>
      </c>
      <c r="C24" s="14" t="n">
        <v>6764</v>
      </c>
    </row>
    <row r="25">
      <c r="A25" s="42" t="n"/>
      <c r="B25" s="12" t="inlineStr">
        <is>
          <t>Lights, Street</t>
        </is>
      </c>
      <c r="C25" s="14" t="n">
        <v>102325</v>
      </c>
    </row>
    <row r="26">
      <c r="A26" s="43" t="n"/>
      <c r="B26" s="12" t="inlineStr">
        <is>
          <t>Mailboxes</t>
        </is>
      </c>
      <c r="C26" s="14" t="n">
        <v>40261</v>
      </c>
    </row>
    <row r="27">
      <c r="A27" s="44" t="n"/>
      <c r="B27" s="12" t="inlineStr">
        <is>
          <t>Pool Filter System</t>
        </is>
      </c>
      <c r="C27" s="14" t="n">
        <v>13439</v>
      </c>
    </row>
    <row r="28">
      <c r="A28" s="45" t="n"/>
      <c r="B28" s="12" t="inlineStr">
        <is>
          <t>Roof - Clubhouse</t>
        </is>
      </c>
      <c r="C28" s="14" t="n">
        <v>18650</v>
      </c>
    </row>
    <row r="29">
      <c r="A29" s="46" t="n"/>
      <c r="B29" s="12" t="inlineStr">
        <is>
          <t>Seal Coating</t>
        </is>
      </c>
      <c r="C29" s="14" t="n">
        <v>120267</v>
      </c>
    </row>
    <row r="30">
      <c r="A30" s="47" t="n"/>
      <c r="B30" s="12" t="inlineStr">
        <is>
          <t>Siding, Vinyl - Clubhouse</t>
        </is>
      </c>
      <c r="C30" s="14" t="n">
        <v>57482</v>
      </c>
    </row>
    <row r="31">
      <c r="A31" s="48" t="n"/>
      <c r="B31" s="12" t="inlineStr">
        <is>
          <t>Skylights - Clubhouse</t>
        </is>
      </c>
      <c r="C31" s="14" t="n">
        <v>5373</v>
      </c>
    </row>
    <row r="32">
      <c r="A32" s="49" t="n"/>
      <c r="B32" s="12" t="inlineStr">
        <is>
          <t>Stop Signs</t>
        </is>
      </c>
      <c r="C32" s="14" t="n">
        <v>4515</v>
      </c>
    </row>
    <row r="33">
      <c r="A33" s="19" t="n"/>
      <c r="B33" s="12" t="inlineStr">
        <is>
          <t>Street Signs</t>
        </is>
      </c>
      <c r="C33" s="14" t="n">
        <v>3612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2026-06-06T21:08:38Z</dcterms:created>
  <dcterms:modified xsi:type="dcterms:W3CDTF">2026-06-06T21:08:38Z</dcterms:modified>
</cp:coreProperties>
</file>