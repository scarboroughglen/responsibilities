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Fund Summary" sheetId="2" state="visible" r:id="rId2"/>
    <sheet name="Emergency Reserve" sheetId="3" state="visible" r:id="rId3"/>
    <sheet name="Long-Term Maintenance" sheetId="4" state="visible" r:id="rId4"/>
    <sheet name="Operating Reserve" sheetId="5" state="visible" r:id="rId5"/>
    <sheet name="Components" sheetId="6" state="visible" r:id="rId6"/>
    <sheet name="Expenditure Char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$#,##0.00"/>
  </numFmts>
  <fonts count="7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2F5496"/>
      <sz val="12"/>
    </font>
    <font>
      <name val="Calibri"/>
      <sz val="11"/>
    </font>
    <font>
      <name val="Calibri"/>
      <b val="1"/>
      <sz val="11"/>
    </font>
    <font>
      <name val="Calibri"/>
      <i val="1"/>
      <color rgb="00666666"/>
      <sz val="10"/>
    </font>
    <font>
      <name val="Calibri"/>
      <b val="1"/>
      <color rgb="00FFFFFF"/>
      <sz val="11"/>
    </font>
  </fonts>
  <fills count="3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  <fill>
      <patternFill patternType="solid">
        <fgColor rgb="00A5A5A5"/>
        <bgColor rgb="00A5A5A5"/>
      </patternFill>
    </fill>
    <fill>
      <patternFill patternType="solid">
        <fgColor rgb="00FFC000"/>
        <bgColor rgb="00FFC000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264478"/>
        <bgColor rgb="00264478"/>
      </patternFill>
    </fill>
    <fill>
      <patternFill patternType="solid">
        <fgColor rgb="009B57A0"/>
        <bgColor rgb="009B57A0"/>
      </patternFill>
    </fill>
    <fill>
      <patternFill patternType="solid">
        <fgColor rgb="00636363"/>
        <bgColor rgb="00636363"/>
      </patternFill>
    </fill>
    <fill>
      <patternFill patternType="solid">
        <fgColor rgb="00EB7E30"/>
        <bgColor rgb="00EB7E30"/>
      </patternFill>
    </fill>
    <fill>
      <patternFill patternType="solid">
        <fgColor rgb="0044546A"/>
        <bgColor rgb="0044546A"/>
      </patternFill>
    </fill>
    <fill>
      <patternFill patternType="solid">
        <fgColor rgb="00BF4B28"/>
        <bgColor rgb="00BF4B28"/>
      </patternFill>
    </fill>
    <fill>
      <patternFill patternType="solid">
        <fgColor rgb="0000B0F0"/>
        <bgColor rgb="0000B0F0"/>
      </patternFill>
    </fill>
    <fill>
      <patternFill patternType="solid">
        <fgColor rgb="0092D050"/>
        <bgColor rgb="0092D050"/>
      </patternFill>
    </fill>
    <fill>
      <patternFill patternType="solid">
        <fgColor rgb="007030A0"/>
        <bgColor rgb="007030A0"/>
      </patternFill>
    </fill>
    <fill>
      <patternFill patternType="solid">
        <fgColor rgb="00C55A11"/>
        <bgColor rgb="00C55A11"/>
      </patternFill>
    </fill>
    <fill>
      <patternFill patternType="solid">
        <fgColor rgb="002E75B6"/>
        <bgColor rgb="002E75B6"/>
      </patternFill>
    </fill>
    <fill>
      <patternFill patternType="solid">
        <fgColor rgb="00AFABAB"/>
        <bgColor rgb="00AFABAB"/>
      </patternFill>
    </fill>
    <fill>
      <patternFill patternType="solid">
        <fgColor rgb="0043682B"/>
        <bgColor rgb="0043682B"/>
      </patternFill>
    </fill>
    <fill>
      <patternFill patternType="solid">
        <fgColor rgb="00D63384"/>
        <bgColor rgb="00D63384"/>
      </patternFill>
    </fill>
    <fill>
      <patternFill patternType="solid">
        <fgColor rgb="00F4B183"/>
        <bgColor rgb="00F4B183"/>
      </patternFill>
    </fill>
    <fill>
      <patternFill patternType="solid">
        <fgColor rgb="008FAADC"/>
        <bgColor rgb="008FAADC"/>
      </patternFill>
    </fill>
    <fill>
      <patternFill patternType="solid">
        <fgColor rgb="00A9D18E"/>
        <bgColor rgb="00A9D18E"/>
      </patternFill>
    </fill>
    <fill>
      <patternFill patternType="solid">
        <fgColor rgb="00FFD966"/>
        <bgColor rgb="00FFD966"/>
      </patternFill>
    </fill>
    <fill>
      <patternFill patternType="solid">
        <fgColor rgb="00B4C7E7"/>
        <bgColor rgb="00B4C7E7"/>
      </patternFill>
    </fill>
    <fill>
      <patternFill patternType="solid">
        <fgColor rgb="00F8CBAD"/>
        <bgColor rgb="00F8CBAD"/>
      </patternFill>
    </fill>
    <fill>
      <patternFill patternType="solid">
        <fgColor rgb="00C9C9C9"/>
        <bgColor rgb="00C9C9C9"/>
      </patternFill>
    </fill>
    <fill>
      <patternFill patternType="solid">
        <fgColor rgb="00E2F0D9"/>
        <bgColor rgb="00E2F0D9"/>
      </patternFill>
    </fill>
    <fill>
      <patternFill patternType="solid">
        <fgColor rgb="00D6DCE4"/>
        <bgColor rgb="00D6DCE4"/>
      </patternFill>
    </fill>
    <fill>
      <patternFill patternType="solid">
        <fgColor rgb="00FBE5D6"/>
        <bgColor rgb="00FBE5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3" fontId="3" fillId="0" borderId="0" pivotButton="0" quotePrefix="0" xfId="0"/>
    <xf numFmtId="0" fontId="5" fillId="0" borderId="0" pivotButton="0" quotePrefix="0" xfId="0"/>
    <xf numFmtId="3" fontId="4" fillId="0" borderId="0" pivotButton="0" quotePrefix="0" xfId="0"/>
    <xf numFmtId="3" fontId="4" fillId="0" borderId="1" pivotButton="0" quotePrefix="0" xfId="0"/>
    <xf numFmtId="3" fontId="4" fillId="2" borderId="1" pivotButton="0" quotePrefix="0" xfId="0"/>
    <xf numFmtId="10" fontId="4" fillId="2" borderId="1" pivotButton="0" quotePrefix="0" xfId="0"/>
    <xf numFmtId="0" fontId="6" fillId="3" borderId="1" applyAlignment="1" pivotButton="0" quotePrefix="0" xfId="0">
      <alignment horizontal="center" wrapText="1"/>
    </xf>
    <xf numFmtId="0" fontId="3" fillId="0" borderId="1" pivotButton="0" quotePrefix="0" xfId="0"/>
    <xf numFmtId="0" fontId="5" fillId="0" borderId="1" pivotButton="0" quotePrefix="0" xfId="0"/>
    <xf numFmtId="0" fontId="4" fillId="0" borderId="1" pivotButton="0" quotePrefix="0" xfId="0"/>
    <xf numFmtId="3" fontId="0" fillId="0" borderId="1" pivotButton="0" quotePrefix="0" xfId="0"/>
    <xf numFmtId="10" fontId="4" fillId="0" borderId="1" pivotButton="0" quotePrefix="0" xfId="0"/>
    <xf numFmtId="0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64" fontId="4" fillId="0" borderId="1" pivotButton="0" quotePrefix="0" xfId="0"/>
    <xf numFmtId="1" fontId="4" fillId="2" borderId="1" pivotButton="0" quotePrefix="0" xfId="0"/>
    <xf numFmtId="165" fontId="0" fillId="0" borderId="1" pivotButton="0" quotePrefix="0" xfId="0"/>
    <xf numFmtId="165" fontId="4" fillId="0" borderId="1" pivotButton="0" quotePrefix="0" xfId="0"/>
    <xf numFmtId="3" fontId="5" fillId="0" borderId="0" pivotButton="0" quotePrefix="0" xfId="0"/>
    <xf numFmtId="164" fontId="0" fillId="0" borderId="1" pivotButton="0" quotePrefix="0" xfId="0"/>
    <xf numFmtId="3" fontId="3" fillId="0" borderId="1" pivotButton="0" quotePrefix="0" xfId="0"/>
    <xf numFmtId="10" fontId="3" fillId="0" borderId="1" pivotButton="0" quotePrefix="0" xfId="0"/>
    <xf numFmtId="0" fontId="0" fillId="4" borderId="1" pivotButton="0" quotePrefix="0" xfId="0"/>
    <xf numFmtId="3" fontId="0" fillId="0" borderId="0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0" fillId="14" borderId="1" pivotButton="0" quotePrefix="0" xfId="0"/>
    <xf numFmtId="0" fontId="0" fillId="15" borderId="1" pivotButton="0" quotePrefix="0" xfId="0"/>
    <xf numFmtId="0" fontId="0" fillId="16" borderId="1" pivotButton="0" quotePrefix="0" xfId="0"/>
    <xf numFmtId="0" fontId="0" fillId="17" borderId="1" pivotButton="0" quotePrefix="0" xfId="0"/>
    <xf numFmtId="0" fontId="0" fillId="18" borderId="1" pivotButton="0" quotePrefix="0" xfId="0"/>
    <xf numFmtId="0" fontId="0" fillId="19" borderId="1" pivotButton="0" quotePrefix="0" xfId="0"/>
    <xf numFmtId="0" fontId="0" fillId="20" borderId="1" pivotButton="0" quotePrefix="0" xfId="0"/>
    <xf numFmtId="0" fontId="0" fillId="21" borderId="1" pivotButton="0" quotePrefix="0" xfId="0"/>
    <xf numFmtId="0" fontId="0" fillId="22" borderId="1" pivotButton="0" quotePrefix="0" xfId="0"/>
    <xf numFmtId="0" fontId="0" fillId="23" borderId="1" pivotButton="0" quotePrefix="0" xfId="0"/>
    <xf numFmtId="0" fontId="0" fillId="24" borderId="1" pivotButton="0" quotePrefix="0" xfId="0"/>
    <xf numFmtId="0" fontId="0" fillId="25" borderId="1" pivotButton="0" quotePrefix="0" xfId="0"/>
    <xf numFmtId="0" fontId="0" fillId="26" borderId="1" pivotButton="0" quotePrefix="0" xfId="0"/>
    <xf numFmtId="0" fontId="0" fillId="27" borderId="1" pivotButton="0" quotePrefix="0" xfId="0"/>
    <xf numFmtId="0" fontId="0" fillId="28" borderId="1" pivotButton="0" quotePrefix="0" xfId="0"/>
    <xf numFmtId="0" fontId="0" fillId="29" borderId="1" pivotButton="0" quotePrefix="0" xfId="0"/>
    <xf numFmtId="0" fontId="0" fillId="30" borderId="1" pivotButton="0" quotePrefix="0" xfId="0"/>
    <xf numFmtId="0" fontId="0" fillId="31" borderId="1" pivotButton="0" quotePrefix="0" xfId="0"/>
    <xf numFmtId="0" fontId="0" fillId="32" borderId="1" pivotButton="0" quotePrefix="0" xfId="0"/>
    <xf numFmtId="0" fontId="0" fillId="33" borderId="1" pivotButton="0" quotePrefix="0" xfId="0"/>
  </cellXfs>
  <cellStyles count="1">
    <cellStyle name="Normal" xfId="0" builtinId="0" hidden="0"/>
  </cellStyles>
  <dxfs count="3">
    <dxf>
      <font>
        <name val="Calibri"/>
        <b val="1"/>
        <color rgb="009C0006"/>
      </font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  <dxf>
      <font>
        <name val="Calibri"/>
        <b val="1"/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Scarborough Glen HOA — Projected Expenditures by Year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'Expenditure Chart'!F2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'Expenditure Chart'!$E$3:$E$23</f>
            </numRef>
          </cat>
          <val>
            <numRef>
              <f>'Expenditure Chart'!$F$3:$F$23</f>
            </numRef>
          </val>
        </ser>
        <ser>
          <idx val="1"/>
          <order val="1"/>
          <tx>
            <strRef>
              <f>'Expenditure Chart'!G2</f>
            </strRef>
          </tx>
          <spPr>
            <a:solidFill>
              <a:srgbClr val="ED7D31"/>
            </a:solidFill>
            <a:ln>
              <a:prstDash val="solid"/>
            </a:ln>
          </spPr>
          <cat>
            <numRef>
              <f>'Expenditure Chart'!$E$3:$E$23</f>
            </numRef>
          </cat>
          <val>
            <numRef>
              <f>'Expenditure Chart'!$G$3:$G$23</f>
            </numRef>
          </val>
        </ser>
        <ser>
          <idx val="2"/>
          <order val="2"/>
          <tx>
            <strRef>
              <f>'Expenditure Chart'!H2</f>
            </strRef>
          </tx>
          <spPr>
            <a:solidFill>
              <a:srgbClr val="A5A5A5"/>
            </a:solidFill>
            <a:ln>
              <a:prstDash val="solid"/>
            </a:ln>
          </spPr>
          <cat>
            <numRef>
              <f>'Expenditure Chart'!$E$3:$E$23</f>
            </numRef>
          </cat>
          <val>
            <numRef>
              <f>'Expenditure Chart'!$H$3:$H$23</f>
            </numRef>
          </val>
        </ser>
        <ser>
          <idx val="3"/>
          <order val="3"/>
          <tx>
            <strRef>
              <f>'Expenditure Chart'!I2</f>
            </strRef>
          </tx>
          <spPr>
            <a:solidFill>
              <a:srgbClr val="FFC000"/>
            </a:solidFill>
            <a:ln>
              <a:prstDash val="solid"/>
            </a:ln>
          </spPr>
          <cat>
            <numRef>
              <f>'Expenditure Chart'!$E$3:$E$23</f>
            </numRef>
          </cat>
          <val>
            <numRef>
              <f>'Expenditure Chart'!$I$3:$I$23</f>
            </numRef>
          </val>
        </ser>
        <ser>
          <idx val="4"/>
          <order val="4"/>
          <tx>
            <strRef>
              <f>'Expenditure Chart'!J2</f>
            </strRef>
          </tx>
          <spPr>
            <a:solidFill>
              <a:srgbClr val="5B9BD5"/>
            </a:solidFill>
            <a:ln>
              <a:prstDash val="solid"/>
            </a:ln>
          </spPr>
          <cat>
            <numRef>
              <f>'Expenditure Chart'!$E$3:$E$23</f>
            </numRef>
          </cat>
          <val>
            <numRef>
              <f>'Expenditure Chart'!$J$3:$J$23</f>
            </numRef>
          </val>
        </ser>
        <ser>
          <idx val="5"/>
          <order val="5"/>
          <tx>
            <strRef>
              <f>'Expenditure Chart'!K2</f>
            </strRef>
          </tx>
          <spPr>
            <a:solidFill>
              <a:srgbClr val="70AD47"/>
            </a:solidFill>
            <a:ln>
              <a:prstDash val="solid"/>
            </a:ln>
          </spPr>
          <cat>
            <numRef>
              <f>'Expenditure Chart'!$E$3:$E$23</f>
            </numRef>
          </cat>
          <val>
            <numRef>
              <f>'Expenditure Chart'!$K$3:$K$23</f>
            </numRef>
          </val>
        </ser>
        <ser>
          <idx val="6"/>
          <order val="6"/>
          <tx>
            <strRef>
              <f>'Expenditure Chart'!L2</f>
            </strRef>
          </tx>
          <spPr>
            <a:solidFill>
              <a:srgbClr val="264478"/>
            </a:solidFill>
            <a:ln>
              <a:prstDash val="solid"/>
            </a:ln>
          </spPr>
          <cat>
            <numRef>
              <f>'Expenditure Chart'!$E$3:$E$23</f>
            </numRef>
          </cat>
          <val>
            <numRef>
              <f>'Expenditure Chart'!$L$3:$L$23</f>
            </numRef>
          </val>
        </ser>
        <ser>
          <idx val="7"/>
          <order val="7"/>
          <tx>
            <strRef>
              <f>'Expenditure Chart'!M2</f>
            </strRef>
          </tx>
          <spPr>
            <a:solidFill>
              <a:srgbClr val="9B57A0"/>
            </a:solidFill>
            <a:ln>
              <a:prstDash val="solid"/>
            </a:ln>
          </spPr>
          <cat>
            <numRef>
              <f>'Expenditure Chart'!$E$3:$E$23</f>
            </numRef>
          </cat>
          <val>
            <numRef>
              <f>'Expenditure Chart'!$M$3:$M$23</f>
            </numRef>
          </val>
        </ser>
        <ser>
          <idx val="8"/>
          <order val="8"/>
          <tx>
            <strRef>
              <f>'Expenditure Chart'!N2</f>
            </strRef>
          </tx>
          <spPr>
            <a:solidFill>
              <a:srgbClr val="636363"/>
            </a:solidFill>
            <a:ln>
              <a:prstDash val="solid"/>
            </a:ln>
          </spPr>
          <cat>
            <numRef>
              <f>'Expenditure Chart'!$E$3:$E$23</f>
            </numRef>
          </cat>
          <val>
            <numRef>
              <f>'Expenditure Chart'!$N$3:$N$23</f>
            </numRef>
          </val>
        </ser>
        <ser>
          <idx val="9"/>
          <order val="9"/>
          <tx>
            <strRef>
              <f>'Expenditure Chart'!O2</f>
            </strRef>
          </tx>
          <spPr>
            <a:solidFill>
              <a:srgbClr val="EB7E30"/>
            </a:solidFill>
            <a:ln>
              <a:prstDash val="solid"/>
            </a:ln>
          </spPr>
          <cat>
            <numRef>
              <f>'Expenditure Chart'!$E$3:$E$23</f>
            </numRef>
          </cat>
          <val>
            <numRef>
              <f>'Expenditure Chart'!$O$3:$O$23</f>
            </numRef>
          </val>
        </ser>
        <ser>
          <idx val="10"/>
          <order val="10"/>
          <tx>
            <strRef>
              <f>'Expenditure Chart'!P2</f>
            </strRef>
          </tx>
          <spPr>
            <a:solidFill>
              <a:srgbClr val="44546A"/>
            </a:solidFill>
            <a:ln>
              <a:prstDash val="solid"/>
            </a:ln>
          </spPr>
          <cat>
            <numRef>
              <f>'Expenditure Chart'!$E$3:$E$23</f>
            </numRef>
          </cat>
          <val>
            <numRef>
              <f>'Expenditure Chart'!$P$3:$P$23</f>
            </numRef>
          </val>
        </ser>
        <ser>
          <idx val="11"/>
          <order val="11"/>
          <tx>
            <strRef>
              <f>'Expenditure Chart'!Q2</f>
            </strRef>
          </tx>
          <spPr>
            <a:solidFill>
              <a:srgbClr val="BF4B28"/>
            </a:solidFill>
            <a:ln>
              <a:prstDash val="solid"/>
            </a:ln>
          </spPr>
          <cat>
            <numRef>
              <f>'Expenditure Chart'!$E$3:$E$23</f>
            </numRef>
          </cat>
          <val>
            <numRef>
              <f>'Expenditure Chart'!$Q$3:$Q$23</f>
            </numRef>
          </val>
        </ser>
        <ser>
          <idx val="12"/>
          <order val="12"/>
          <tx>
            <strRef>
              <f>'Expenditure Chart'!R2</f>
            </strRef>
          </tx>
          <spPr>
            <a:solidFill>
              <a:srgbClr val="00B0F0"/>
            </a:solidFill>
            <a:ln>
              <a:prstDash val="solid"/>
            </a:ln>
          </spPr>
          <cat>
            <numRef>
              <f>'Expenditure Chart'!$E$3:$E$23</f>
            </numRef>
          </cat>
          <val>
            <numRef>
              <f>'Expenditure Chart'!$R$3:$R$23</f>
            </numRef>
          </val>
        </ser>
        <ser>
          <idx val="13"/>
          <order val="13"/>
          <tx>
            <strRef>
              <f>'Expenditure Chart'!S2</f>
            </strRef>
          </tx>
          <spPr>
            <a:solidFill>
              <a:srgbClr val="92D050"/>
            </a:solidFill>
            <a:ln>
              <a:prstDash val="solid"/>
            </a:ln>
          </spPr>
          <cat>
            <numRef>
              <f>'Expenditure Chart'!$E$3:$E$23</f>
            </numRef>
          </cat>
          <val>
            <numRef>
              <f>'Expenditure Chart'!$S$3:$S$23</f>
            </numRef>
          </val>
        </ser>
        <ser>
          <idx val="14"/>
          <order val="14"/>
          <tx>
            <strRef>
              <f>'Expenditure Chart'!T2</f>
            </strRef>
          </tx>
          <spPr>
            <a:solidFill>
              <a:srgbClr val="7030A0"/>
            </a:solidFill>
            <a:ln>
              <a:prstDash val="solid"/>
            </a:ln>
          </spPr>
          <cat>
            <numRef>
              <f>'Expenditure Chart'!$E$3:$E$23</f>
            </numRef>
          </cat>
          <val>
            <numRef>
              <f>'Expenditure Chart'!$T$3:$T$23</f>
            </numRef>
          </val>
        </ser>
        <ser>
          <idx val="15"/>
          <order val="15"/>
          <tx>
            <strRef>
              <f>'Expenditure Chart'!U2</f>
            </strRef>
          </tx>
          <spPr>
            <a:solidFill>
              <a:srgbClr val="C55A11"/>
            </a:solidFill>
            <a:ln>
              <a:prstDash val="solid"/>
            </a:ln>
          </spPr>
          <cat>
            <numRef>
              <f>'Expenditure Chart'!$E$3:$E$23</f>
            </numRef>
          </cat>
          <val>
            <numRef>
              <f>'Expenditure Chart'!$U$3:$U$23</f>
            </numRef>
          </val>
        </ser>
        <ser>
          <idx val="16"/>
          <order val="16"/>
          <tx>
            <strRef>
              <f>'Expenditure Chart'!V2</f>
            </strRef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'Expenditure Chart'!$E$3:$E$23</f>
            </numRef>
          </cat>
          <val>
            <numRef>
              <f>'Expenditure Chart'!$V$3:$V$23</f>
            </numRef>
          </val>
        </ser>
        <ser>
          <idx val="17"/>
          <order val="17"/>
          <tx>
            <strRef>
              <f>'Expenditure Chart'!W2</f>
            </strRef>
          </tx>
          <spPr>
            <a:solidFill>
              <a:srgbClr val="AFABAB"/>
            </a:solidFill>
            <a:ln>
              <a:prstDash val="solid"/>
            </a:ln>
          </spPr>
          <cat>
            <numRef>
              <f>'Expenditure Chart'!$E$3:$E$23</f>
            </numRef>
          </cat>
          <val>
            <numRef>
              <f>'Expenditure Chart'!$W$3:$W$23</f>
            </numRef>
          </val>
        </ser>
        <ser>
          <idx val="18"/>
          <order val="18"/>
          <tx>
            <strRef>
              <f>'Expenditure Chart'!X2</f>
            </strRef>
          </tx>
          <spPr>
            <a:solidFill>
              <a:srgbClr val="43682B"/>
            </a:solidFill>
            <a:ln>
              <a:prstDash val="solid"/>
            </a:ln>
          </spPr>
          <cat>
            <numRef>
              <f>'Expenditure Chart'!$E$3:$E$23</f>
            </numRef>
          </cat>
          <val>
            <numRef>
              <f>'Expenditure Chart'!$X$3:$X$23</f>
            </numRef>
          </val>
        </ser>
        <ser>
          <idx val="19"/>
          <order val="19"/>
          <tx>
            <strRef>
              <f>'Expenditure Chart'!Y2</f>
            </strRef>
          </tx>
          <spPr>
            <a:solidFill>
              <a:srgbClr val="D63384"/>
            </a:solidFill>
            <a:ln>
              <a:prstDash val="solid"/>
            </a:ln>
          </spPr>
          <cat>
            <numRef>
              <f>'Expenditure Chart'!$E$3:$E$23</f>
            </numRef>
          </cat>
          <val>
            <numRef>
              <f>'Expenditure Chart'!$Y$3:$Y$23</f>
            </numRef>
          </val>
        </ser>
        <ser>
          <idx val="20"/>
          <order val="20"/>
          <tx>
            <strRef>
              <f>'Expenditure Chart'!Z2</f>
            </strRef>
          </tx>
          <spPr>
            <a:solidFill>
              <a:srgbClr val="F4B183"/>
            </a:solidFill>
            <a:ln>
              <a:prstDash val="solid"/>
            </a:ln>
          </spPr>
          <cat>
            <numRef>
              <f>'Expenditure Chart'!$E$3:$E$23</f>
            </numRef>
          </cat>
          <val>
            <numRef>
              <f>'Expenditure Chart'!$Z$3:$Z$23</f>
            </numRef>
          </val>
        </ser>
        <ser>
          <idx val="21"/>
          <order val="21"/>
          <tx>
            <strRef>
              <f>'Expenditure Chart'!AA2</f>
            </strRef>
          </tx>
          <spPr>
            <a:solidFill>
              <a:srgbClr val="8FAADC"/>
            </a:solidFill>
            <a:ln>
              <a:prstDash val="solid"/>
            </a:ln>
          </spPr>
          <cat>
            <numRef>
              <f>'Expenditure Chart'!$E$3:$E$23</f>
            </numRef>
          </cat>
          <val>
            <numRef>
              <f>'Expenditure Chart'!$AA$3:$AA$23</f>
            </numRef>
          </val>
        </ser>
        <ser>
          <idx val="22"/>
          <order val="22"/>
          <tx>
            <strRef>
              <f>'Expenditure Chart'!AB2</f>
            </strRef>
          </tx>
          <spPr>
            <a:solidFill>
              <a:srgbClr val="A9D18E"/>
            </a:solidFill>
            <a:ln>
              <a:prstDash val="solid"/>
            </a:ln>
          </spPr>
          <cat>
            <numRef>
              <f>'Expenditure Chart'!$E$3:$E$23</f>
            </numRef>
          </cat>
          <val>
            <numRef>
              <f>'Expenditure Chart'!$AB$3:$AB$23</f>
            </numRef>
          </val>
        </ser>
        <ser>
          <idx val="23"/>
          <order val="23"/>
          <tx>
            <strRef>
              <f>'Expenditure Chart'!AC2</f>
            </strRef>
          </tx>
          <spPr>
            <a:solidFill>
              <a:srgbClr val="FFD966"/>
            </a:solidFill>
            <a:ln>
              <a:prstDash val="solid"/>
            </a:ln>
          </spPr>
          <cat>
            <numRef>
              <f>'Expenditure Chart'!$E$3:$E$23</f>
            </numRef>
          </cat>
          <val>
            <numRef>
              <f>'Expenditure Chart'!$AC$3:$AC$23</f>
            </numRef>
          </val>
        </ser>
        <ser>
          <idx val="24"/>
          <order val="24"/>
          <tx>
            <strRef>
              <f>'Expenditure Chart'!AD2</f>
            </strRef>
          </tx>
          <spPr>
            <a:solidFill>
              <a:srgbClr val="B4C7E7"/>
            </a:solidFill>
            <a:ln>
              <a:prstDash val="solid"/>
            </a:ln>
          </spPr>
          <cat>
            <numRef>
              <f>'Expenditure Chart'!$E$3:$E$23</f>
            </numRef>
          </cat>
          <val>
            <numRef>
              <f>'Expenditure Chart'!$AD$3:$AD$23</f>
            </numRef>
          </val>
        </ser>
        <ser>
          <idx val="25"/>
          <order val="25"/>
          <tx>
            <strRef>
              <f>'Expenditure Chart'!AE2</f>
            </strRef>
          </tx>
          <spPr>
            <a:solidFill>
              <a:srgbClr val="F8CBAD"/>
            </a:solidFill>
            <a:ln>
              <a:prstDash val="solid"/>
            </a:ln>
          </spPr>
          <cat>
            <numRef>
              <f>'Expenditure Chart'!$E$3:$E$23</f>
            </numRef>
          </cat>
          <val>
            <numRef>
              <f>'Expenditure Chart'!$AE$3:$AE$23</f>
            </numRef>
          </val>
        </ser>
        <ser>
          <idx val="26"/>
          <order val="26"/>
          <tx>
            <strRef>
              <f>'Expenditure Chart'!AF2</f>
            </strRef>
          </tx>
          <spPr>
            <a:solidFill>
              <a:srgbClr val="C9C9C9"/>
            </a:solidFill>
            <a:ln>
              <a:prstDash val="solid"/>
            </a:ln>
          </spPr>
          <cat>
            <numRef>
              <f>'Expenditure Chart'!$E$3:$E$23</f>
            </numRef>
          </cat>
          <val>
            <numRef>
              <f>'Expenditure Chart'!$AF$3:$AF$23</f>
            </numRef>
          </val>
        </ser>
        <ser>
          <idx val="27"/>
          <order val="27"/>
          <tx>
            <strRef>
              <f>'Expenditure Chart'!AG2</f>
            </strRef>
          </tx>
          <spPr>
            <a:solidFill>
              <a:srgbClr val="E2F0D9"/>
            </a:solidFill>
            <a:ln>
              <a:prstDash val="solid"/>
            </a:ln>
          </spPr>
          <cat>
            <numRef>
              <f>'Expenditure Chart'!$E$3:$E$23</f>
            </numRef>
          </cat>
          <val>
            <numRef>
              <f>'Expenditure Chart'!$AG$3:$AG$23</f>
            </numRef>
          </val>
        </ser>
        <ser>
          <idx val="28"/>
          <order val="28"/>
          <tx>
            <strRef>
              <f>'Expenditure Chart'!AH2</f>
            </strRef>
          </tx>
          <spPr>
            <a:solidFill>
              <a:srgbClr val="D6DCE4"/>
            </a:solidFill>
            <a:ln>
              <a:prstDash val="solid"/>
            </a:ln>
          </spPr>
          <cat>
            <numRef>
              <f>'Expenditure Chart'!$E$3:$E$23</f>
            </numRef>
          </cat>
          <val>
            <numRef>
              <f>'Expenditure Chart'!$AH$3:$AH$23</f>
            </numRef>
          </val>
        </ser>
        <ser>
          <idx val="29"/>
          <order val="29"/>
          <tx>
            <strRef>
              <f>'Expenditure Chart'!AI2</f>
            </strRef>
          </tx>
          <spPr>
            <a:solidFill>
              <a:srgbClr val="FBE5D6"/>
            </a:solidFill>
            <a:ln>
              <a:prstDash val="solid"/>
            </a:ln>
          </spPr>
          <cat>
            <numRef>
              <f>'Expenditure Chart'!$E$3:$E$23</f>
            </numRef>
          </cat>
          <val>
            <numRef>
              <f>'Expenditure Chart'!$AI$3:$AI$23</f>
            </numRef>
          </val>
        </ser>
        <ser>
          <idx val="30"/>
          <order val="30"/>
          <tx>
            <strRef>
              <f>'Expenditure Chart'!AJ2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'Expenditure Chart'!$E$3:$E$23</f>
            </numRef>
          </cat>
          <val>
            <numRef>
              <f>'Expenditure Chart'!$AJ$3:$AJ$23</f>
            </numRef>
          </val>
        </ser>
        <ser>
          <idx val="31"/>
          <order val="31"/>
          <tx>
            <strRef>
              <f>'Expenditure Chart'!AK2</f>
            </strRef>
          </tx>
          <spPr>
            <a:solidFill>
              <a:srgbClr val="ED7D31"/>
            </a:solidFill>
            <a:ln>
              <a:prstDash val="solid"/>
            </a:ln>
          </spPr>
          <cat>
            <numRef>
              <f>'Expenditure Chart'!$E$3:$E$23</f>
            </numRef>
          </cat>
          <val>
            <numRef>
              <f>'Expenditure Chart'!$AK$3:$AK$23</f>
            </numRef>
          </val>
        </ser>
        <ser>
          <idx val="32"/>
          <order val="32"/>
          <tx>
            <strRef>
              <f>'Expenditure Chart'!AL2</f>
            </strRef>
          </tx>
          <spPr>
            <a:solidFill>
              <a:srgbClr val="A5A5A5"/>
            </a:solidFill>
            <a:ln>
              <a:prstDash val="solid"/>
            </a:ln>
          </spPr>
          <cat>
            <numRef>
              <f>'Expenditure Chart'!$E$3:$E$23</f>
            </numRef>
          </cat>
          <val>
            <numRef>
              <f>'Expenditure Chart'!$AL$3:$AL$23</f>
            </numRef>
          </val>
        </ser>
        <ser>
          <idx val="33"/>
          <order val="33"/>
          <tx>
            <strRef>
              <f>'Expenditure Chart'!AM2</f>
            </strRef>
          </tx>
          <spPr>
            <a:solidFill>
              <a:srgbClr val="FFC000"/>
            </a:solidFill>
            <a:ln>
              <a:prstDash val="solid"/>
            </a:ln>
          </spPr>
          <cat>
            <numRef>
              <f>'Expenditure Chart'!$E$3:$E$23</f>
            </numRef>
          </cat>
          <val>
            <numRef>
              <f>'Expenditure Chart'!$AM$3:$AM$23</f>
            </numRef>
          </val>
        </ser>
        <ser>
          <idx val="34"/>
          <order val="34"/>
          <tx>
            <strRef>
              <f>'Expenditure Chart'!AN2</f>
            </strRef>
          </tx>
          <spPr>
            <a:solidFill>
              <a:srgbClr val="5B9BD5"/>
            </a:solidFill>
            <a:ln>
              <a:prstDash val="solid"/>
            </a:ln>
          </spPr>
          <cat>
            <numRef>
              <f>'Expenditure Chart'!$E$3:$E$23</f>
            </numRef>
          </cat>
          <val>
            <numRef>
              <f>'Expenditure Chart'!$AN$3:$AN$23</f>
            </numRef>
          </val>
        </ser>
        <ser>
          <idx val="35"/>
          <order val="35"/>
          <tx>
            <strRef>
              <f>'Expenditure Chart'!AO2</f>
            </strRef>
          </tx>
          <spPr>
            <a:solidFill>
              <a:srgbClr val="70AD47"/>
            </a:solidFill>
            <a:ln>
              <a:prstDash val="solid"/>
            </a:ln>
          </spPr>
          <cat>
            <numRef>
              <f>'Expenditure Chart'!$E$3:$E$23</f>
            </numRef>
          </cat>
          <val>
            <numRef>
              <f>'Expenditure Chart'!$AO$3:$AO$23</f>
            </numRef>
          </val>
        </ser>
        <ser>
          <idx val="36"/>
          <order val="36"/>
          <tx>
            <strRef>
              <f>'Expenditure Chart'!AP2</f>
            </strRef>
          </tx>
          <spPr>
            <a:solidFill>
              <a:srgbClr val="264478"/>
            </a:solidFill>
            <a:ln>
              <a:prstDash val="solid"/>
            </a:ln>
          </spPr>
          <cat>
            <numRef>
              <f>'Expenditure Chart'!$E$3:$E$23</f>
            </numRef>
          </cat>
          <val>
            <numRef>
              <f>'Expenditure Chart'!$AP$3:$AP$23</f>
            </numRef>
          </val>
        </ser>
        <ser>
          <idx val="37"/>
          <order val="37"/>
          <tx>
            <strRef>
              <f>'Expenditure Chart'!AQ2</f>
            </strRef>
          </tx>
          <spPr>
            <a:solidFill>
              <a:srgbClr val="9B57A0"/>
            </a:solidFill>
            <a:ln>
              <a:prstDash val="solid"/>
            </a:ln>
          </spPr>
          <cat>
            <numRef>
              <f>'Expenditure Chart'!$E$3:$E$23</f>
            </numRef>
          </cat>
          <val>
            <numRef>
              <f>'Expenditure Chart'!$AQ$3:$AQ$23</f>
            </numRef>
          </val>
        </ser>
        <ser>
          <idx val="38"/>
          <order val="38"/>
          <tx>
            <strRef>
              <f>'Expenditure Chart'!AR2</f>
            </strRef>
          </tx>
          <spPr>
            <a:solidFill>
              <a:srgbClr val="636363"/>
            </a:solidFill>
            <a:ln>
              <a:prstDash val="solid"/>
            </a:ln>
          </spPr>
          <cat>
            <numRef>
              <f>'Expenditure Chart'!$E$3:$E$23</f>
            </numRef>
          </cat>
          <val>
            <numRef>
              <f>'Expenditure Chart'!$AR$3:$AR$23</f>
            </numRef>
          </val>
        </ser>
        <ser>
          <idx val="39"/>
          <order val="39"/>
          <tx>
            <strRef>
              <f>'Expenditure Chart'!AS2</f>
            </strRef>
          </tx>
          <spPr>
            <a:solidFill>
              <a:srgbClr val="EB7E30"/>
            </a:solidFill>
            <a:ln>
              <a:prstDash val="solid"/>
            </a:ln>
          </spPr>
          <cat>
            <numRef>
              <f>'Expenditure Chart'!$E$3:$E$23</f>
            </numRef>
          </cat>
          <val>
            <numRef>
              <f>'Expenditure Chart'!$AS$3:$AS$23</f>
            </numRef>
          </val>
        </ser>
        <ser>
          <idx val="40"/>
          <order val="40"/>
          <tx>
            <strRef>
              <f>'Expenditure Chart'!AT2</f>
            </strRef>
          </tx>
          <spPr>
            <a:solidFill>
              <a:srgbClr val="44546A"/>
            </a:solidFill>
            <a:ln>
              <a:prstDash val="solid"/>
            </a:ln>
          </spPr>
          <cat>
            <numRef>
              <f>'Expenditure Chart'!$E$3:$E$23</f>
            </numRef>
          </cat>
          <val>
            <numRef>
              <f>'Expenditure Chart'!$AT$3:$AT$23</f>
            </numRef>
          </val>
        </ser>
        <ser>
          <idx val="41"/>
          <order val="41"/>
          <tx>
            <strRef>
              <f>'Expenditure Chart'!AU2</f>
            </strRef>
          </tx>
          <spPr>
            <a:solidFill>
              <a:srgbClr val="BF4B28"/>
            </a:solidFill>
            <a:ln>
              <a:prstDash val="solid"/>
            </a:ln>
          </spPr>
          <cat>
            <numRef>
              <f>'Expenditure Chart'!$E$3:$E$23</f>
            </numRef>
          </cat>
          <val>
            <numRef>
              <f>'Expenditure Chart'!$AU$3:$AU$23</f>
            </numRef>
          </val>
        </ser>
        <ser>
          <idx val="42"/>
          <order val="42"/>
          <tx>
            <strRef>
              <f>'Expenditure Chart'!AV2</f>
            </strRef>
          </tx>
          <spPr>
            <a:solidFill>
              <a:srgbClr val="00B0F0"/>
            </a:solidFill>
            <a:ln>
              <a:prstDash val="solid"/>
            </a:ln>
          </spPr>
          <cat>
            <numRef>
              <f>'Expenditure Chart'!$E$3:$E$23</f>
            </numRef>
          </cat>
          <val>
            <numRef>
              <f>'Expenditure Chart'!$AV$3:$AV$23</f>
            </numRef>
          </val>
        </ser>
        <ser>
          <idx val="43"/>
          <order val="43"/>
          <tx>
            <strRef>
              <f>'Expenditure Chart'!AW2</f>
            </strRef>
          </tx>
          <spPr>
            <a:solidFill>
              <a:srgbClr val="92D050"/>
            </a:solidFill>
            <a:ln>
              <a:prstDash val="solid"/>
            </a:ln>
          </spPr>
          <cat>
            <numRef>
              <f>'Expenditure Chart'!$E$3:$E$23</f>
            </numRef>
          </cat>
          <val>
            <numRef>
              <f>'Expenditure Chart'!$AW$3:$AW$23</f>
            </numRef>
          </val>
        </ser>
        <ser>
          <idx val="44"/>
          <order val="44"/>
          <tx>
            <strRef>
              <f>'Expenditure Chart'!AX2</f>
            </strRef>
          </tx>
          <spPr>
            <a:solidFill>
              <a:srgbClr val="7030A0"/>
            </a:solidFill>
            <a:ln>
              <a:prstDash val="solid"/>
            </a:ln>
          </spPr>
          <cat>
            <numRef>
              <f>'Expenditure Chart'!$E$3:$E$23</f>
            </numRef>
          </cat>
          <val>
            <numRef>
              <f>'Expenditure Chart'!$AX$3:$AX$23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b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numFmt formatCode="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Cost ($)</a:t>
                </a:r>
              </a:p>
            </rich>
          </tx>
        </title>
        <numFmt formatCode="$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49</row>
      <rowOff>0</rowOff>
    </from>
    <ext cx="12960000" cy="72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B1:E133"/>
  <sheetViews>
    <sheetView workbookViewId="0">
      <selection activeCell="A1" sqref="A1"/>
    </sheetView>
  </sheetViews>
  <sheetFormatPr baseColWidth="8" defaultRowHeight="15"/>
  <cols>
    <col width="3" customWidth="1" min="1" max="1"/>
    <col width="45" customWidth="1" min="2" max="2"/>
    <col width="20" customWidth="1" min="3" max="3"/>
    <col width="20" customWidth="1" min="4" max="4"/>
    <col width="20" customWidth="1" min="5" max="5"/>
  </cols>
  <sheetData>
    <row r="1">
      <c r="B1" s="1" t="inlineStr">
        <is>
          <t>Scarborough Glen HOA</t>
        </is>
      </c>
    </row>
    <row r="2">
      <c r="B2" s="2" t="inlineStr">
        <is>
          <t>Capital Reserve Funding Plan</t>
        </is>
      </c>
    </row>
    <row r="4">
      <c r="B4" s="2" t="inlineStr">
        <is>
          <t>How to read this workbook</t>
        </is>
      </c>
    </row>
    <row r="5">
      <c r="B5" s="3" t="inlineStr">
        <is>
          <t>START on the 'Fund Summary' tab — it shows the three funds, their targets/floors, the</t>
        </is>
      </c>
    </row>
    <row r="6">
      <c r="B6" s="3" t="inlineStr">
        <is>
          <t>per-unit monthly funding, and the 'Reduction Readiness' gates all on one page.</t>
        </is>
      </c>
    </row>
    <row r="7">
      <c r="B7" s="3" t="inlineStr">
        <is>
          <t>The three fund tabs — Emergency Reserve, Long-Term Maintenance, Operating Reserve — each</t>
        </is>
      </c>
    </row>
    <row r="8">
      <c r="B8" s="3" t="inlineStr">
        <is>
          <t>show that fund's year-by-year balance from 2026 to 2050.</t>
        </is>
      </c>
    </row>
    <row r="9">
      <c r="B9" s="3" t="inlineStr">
        <is>
          <t>'Components' lists every capital item and its cost; 'Expenditure Chart' plots spending by year.</t>
        </is>
      </c>
    </row>
    <row r="10">
      <c r="B10" s="3" t="inlineStr">
        <is>
          <t>Yellow cells are inputs you can edit; every other cell is calculated automatically.</t>
        </is>
      </c>
    </row>
    <row r="12">
      <c r="B12" s="4" t="inlineStr">
        <is>
          <t>Data Sources:</t>
        </is>
      </c>
    </row>
    <row r="13">
      <c r="B13" s="3" t="inlineStr">
        <is>
          <t>Based on Becht Engineering Capital Reserve Study (Project 25-1140, February 2026)</t>
        </is>
      </c>
    </row>
    <row r="14">
      <c r="B14" s="3" t="inlineStr">
        <is>
          <t>Entity allocations derived from Falcon Group Report (2022) per-entity quantity ratios</t>
        </is>
      </c>
    </row>
    <row r="16">
      <c r="B16" s="2" t="inlineStr">
        <is>
          <t>Overview</t>
        </is>
      </c>
    </row>
    <row r="17">
      <c r="B17" s="3" t="inlineStr">
        <is>
          <t>Number of units: 136</t>
        </is>
      </c>
    </row>
    <row r="18">
      <c r="B18" s="3" t="inlineStr">
        <is>
          <t>Total replacement cost (current dollars): $1,364,915</t>
        </is>
      </c>
    </row>
    <row r="19">
      <c r="B19" s="3" t="inlineStr">
        <is>
          <t>Total reserve cash to allocate (2026): $364,334</t>
        </is>
      </c>
    </row>
    <row r="20">
      <c r="B20" s="3" t="inlineStr">
        <is>
          <t>Fund contributions are solved automatically (see Fund Summary) and are fully editable.</t>
        </is>
      </c>
    </row>
    <row r="21">
      <c r="B21" s="3" t="inlineStr">
        <is>
          <t>Planning horizon: 2026-2050 (25 years)</t>
        </is>
      </c>
    </row>
    <row r="23">
      <c r="B23" s="2" t="inlineStr">
        <is>
          <t>Funding Model Assumptions</t>
        </is>
      </c>
    </row>
    <row r="24">
      <c r="B24" s="3" t="inlineStr">
        <is>
          <t>Annual contributions grow at a configurable rate (default 3%) to keep pace with inflation.</t>
        </is>
      </c>
    </row>
    <row r="25">
      <c r="B25" s="3" t="inlineStr">
        <is>
          <t>Reserve funds earn interest at a configurable rate (default 1%) annually.</t>
        </is>
      </c>
    </row>
    <row r="26">
      <c r="B26" s="3" t="inlineStr">
        <is>
          <t>Disbursements (expenditures) occur in the year projected by the Becht engineering study.</t>
        </is>
      </c>
    </row>
    <row r="27">
      <c r="B27" s="3" t="inlineStr">
        <is>
          <t>All disbursement amounts include 3% annual inflation applied to current replacement costs.</t>
        </is>
      </c>
    </row>
    <row r="29">
      <c r="B29" s="2" t="inlineStr">
        <is>
          <t>Three-Fund Model</t>
        </is>
      </c>
    </row>
    <row r="30">
      <c r="B30" s="3" t="inlineStr">
        <is>
          <t>This plan splits reserves into THREE decoupled funds, each with its own balance,</t>
        </is>
      </c>
    </row>
    <row r="31">
      <c r="B31" s="3" t="inlineStr">
        <is>
          <t>annual contribution, floor, and monthly cost per unit. Each has its own tab.</t>
        </is>
      </c>
    </row>
    <row r="32">
      <c r="B32" s="3" t="inlineStr"/>
    </row>
    <row r="33">
      <c r="B33" s="3" t="inlineStr">
        <is>
          <t>1. Emergency Reserve — self-funded buffer for largest common asset (clubhouse / pool).</t>
        </is>
      </c>
    </row>
    <row r="34">
      <c r="B34" s="3" t="inlineStr">
        <is>
          <t xml:space="preserve">   Floor = a target you set (Fund Summary, yellow cell). Not drawn for routine work.</t>
        </is>
      </c>
    </row>
    <row r="35">
      <c r="B35" s="3" t="inlineStr">
        <is>
          <t>2. Long-Term Maintenance — the Becht/Falcon capital replacement schedule.</t>
        </is>
      </c>
    </row>
    <row r="36">
      <c r="B36" s="3" t="inlineStr">
        <is>
          <t xml:space="preserve">   Floor = must NEVER drop below $0 in any year.</t>
        </is>
      </c>
    </row>
    <row r="37">
      <c r="B37" s="3" t="inlineStr">
        <is>
          <t>3. Operating Reserve — decoupled buffer of operating expenses.</t>
        </is>
      </c>
    </row>
    <row r="38">
      <c r="B38" s="3" t="inlineStr">
        <is>
          <t xml:space="preserve">   Floor = multiplier (1-3 months) x monthly operating expense, both set on Fund Summary.</t>
        </is>
      </c>
    </row>
    <row r="39">
      <c r="B39" s="3" t="inlineStr"/>
    </row>
    <row r="40">
      <c r="B40" s="3" t="inlineStr">
        <is>
          <t>Fund Summary sheet: set all inputs here (each fund's starting balance, target/floor and</t>
        </is>
      </c>
    </row>
    <row r="41">
      <c r="B41" s="3" t="inlineStr">
        <is>
          <t>contribution; unit count; growth; interest). Allocate current cash across the three funds'</t>
        </is>
      </c>
    </row>
    <row r="42">
      <c r="B42" s="3" t="inlineStr">
        <is>
          <t>starting balances (Allocated Start column). Recommended: fund near-term Long-Term Maintenance</t>
        </is>
      </c>
    </row>
    <row r="43">
      <c r="B43" s="3" t="inlineStr">
        <is>
          <t>needs and Operating liquidity first, and build the Emergency Reserve from contributions.</t>
        </is>
      </c>
    </row>
    <row r="44">
      <c r="B44" s="3" t="inlineStr"/>
    </row>
    <row r="45">
      <c r="B45" s="3" t="inlineStr">
        <is>
          <t>Percent Funded (Long-Term Maintenance) = reserve on hand / Fully Funded Balance. It is</t>
        </is>
      </c>
    </row>
    <row r="46">
      <c r="B46" s="3" t="inlineStr">
        <is>
          <t>the industry (CAI) metric: under 30% = weak (high special-assessment risk), 30-70% = fair,</t>
        </is>
      </c>
    </row>
    <row r="47">
      <c r="B47" s="3" t="inlineStr">
        <is>
          <t>70%+ = strong.</t>
        </is>
      </c>
    </row>
    <row r="48">
      <c r="B48" s="3" t="inlineStr"/>
    </row>
    <row r="49">
      <c r="B49" s="3" t="inlineStr">
        <is>
          <t>Reduction Readiness — common charges should NOT be reduced until all three gates PASS:</t>
        </is>
      </c>
    </row>
    <row r="50">
      <c r="B50" s="3" t="inlineStr">
        <is>
          <t xml:space="preserve">  Gate 1 — Emergency Reserve is funded to its target.</t>
        </is>
      </c>
    </row>
    <row r="51">
      <c r="B51" s="3" t="inlineStr">
        <is>
          <t xml:space="preserve">  Gate 2 — Long-Term Maintenance stays at/above $0 every year at the proposed contribution.</t>
        </is>
      </c>
    </row>
    <row r="52">
      <c r="B52" s="3" t="inlineStr">
        <is>
          <t xml:space="preserve">  Gate 3 — Operating Reserve stays at/above its floor (multiplier x monthly operating expense).</t>
        </is>
      </c>
    </row>
    <row r="53">
      <c r="B53" s="3" t="inlineStr">
        <is>
          <t>The 'OVERALL' cell reads ELIGIBLE only when all three pass. To model a reduction, lower a</t>
        </is>
      </c>
    </row>
    <row r="54">
      <c r="B54" s="3" t="inlineStr">
        <is>
          <t>fund's Year-1 Contribution on the Fund Summary sheet and watch the gates.</t>
        </is>
      </c>
    </row>
    <row r="55">
      <c r="B55" s="3" t="inlineStr">
        <is>
          <t>Replace every yellow placeholder (targets, floors, total cash) with the entity's ACTUALS.</t>
        </is>
      </c>
    </row>
    <row r="57">
      <c r="B57" s="2" t="inlineStr">
        <is>
          <t>Components Covered by This Plan</t>
        </is>
      </c>
    </row>
    <row r="58">
      <c r="B58" s="3" t="inlineStr">
        <is>
          <t>See the 'Components' sheet for full detail. Summary:</t>
        </is>
      </c>
    </row>
    <row r="60">
      <c r="B60" s="4" t="inlineStr">
        <is>
          <t>Component</t>
        </is>
      </c>
      <c r="C60" s="4" t="inlineStr">
        <is>
          <t>Allocated Cost</t>
        </is>
      </c>
      <c r="D60" s="4" t="inlineStr">
        <is>
          <t>Replacement Year</t>
        </is>
      </c>
    </row>
    <row r="61">
      <c r="B61" s="3" t="inlineStr">
        <is>
          <t>Aerator</t>
        </is>
      </c>
      <c r="C61" s="5" t="n">
        <v>5500</v>
      </c>
      <c r="D61" s="3" t="n">
        <v>2036</v>
      </c>
    </row>
    <row r="62">
      <c r="B62" s="3" t="inlineStr">
        <is>
          <t>Asphalt Crack Filling</t>
        </is>
      </c>
      <c r="C62" s="5" t="n">
        <v>15000</v>
      </c>
    </row>
    <row r="63">
      <c r="B63" s="3" t="inlineStr">
        <is>
          <t>Asphalt Paving (Roads)</t>
        </is>
      </c>
      <c r="C63" s="5" t="n">
        <v>330000</v>
      </c>
      <c r="D63" s="3" t="n">
        <v>2036</v>
      </c>
    </row>
    <row r="64">
      <c r="B64" s="3" t="inlineStr">
        <is>
          <t>Bathroom Refurbishment (Clubhouse)</t>
        </is>
      </c>
      <c r="C64" s="5" t="n">
        <v>10000</v>
      </c>
      <c r="D64" s="3" t="n">
        <v>2033</v>
      </c>
    </row>
    <row r="65">
      <c r="B65" s="3" t="inlineStr">
        <is>
          <t>Clubhouse Furniture</t>
        </is>
      </c>
      <c r="C65" s="5" t="n">
        <v>15000</v>
      </c>
      <c r="D65" s="3" t="n">
        <v>2036</v>
      </c>
    </row>
    <row r="66">
      <c r="B66" s="3" t="inlineStr">
        <is>
          <t>Concrete Pool Apron</t>
        </is>
      </c>
      <c r="C66" s="5" t="n">
        <v>78250</v>
      </c>
      <c r="D66" s="3" t="n">
        <v>2036</v>
      </c>
    </row>
    <row r="67">
      <c r="B67" s="3" t="inlineStr">
        <is>
          <t>Concrete Pool Coping</t>
        </is>
      </c>
      <c r="C67" s="5" t="n">
        <v>9900</v>
      </c>
      <c r="D67" s="3" t="n">
        <v>2031</v>
      </c>
    </row>
    <row r="68">
      <c r="B68" s="3" t="inlineStr">
        <is>
          <t>Concrete Sidewalks (HOA share)</t>
        </is>
      </c>
      <c r="C68" s="5" t="n">
        <v>20103</v>
      </c>
      <c r="D68" s="3" t="n">
        <v>2033</v>
      </c>
    </row>
    <row r="69">
      <c r="B69" s="3" t="inlineStr">
        <is>
          <t>Asphalt Driveways (Condo II share)</t>
        </is>
      </c>
      <c r="C69" s="5" t="n">
        <v>37638</v>
      </c>
      <c r="D69" s="3" t="n">
        <v>2036</v>
      </c>
    </row>
    <row r="70">
      <c r="B70" s="3" t="inlineStr">
        <is>
          <t>Asphalt Driveways (Condo III share)</t>
        </is>
      </c>
      <c r="C70" s="5" t="n">
        <v>15800</v>
      </c>
      <c r="D70" s="3" t="n">
        <v>2036</v>
      </c>
    </row>
    <row r="71">
      <c r="B71" s="3" t="inlineStr">
        <is>
          <t>Asphalt Driveways (Condo IV share)</t>
        </is>
      </c>
      <c r="C71" s="5" t="n">
        <v>254562</v>
      </c>
      <c r="D71" s="3" t="n">
        <v>2036</v>
      </c>
    </row>
    <row r="72">
      <c r="B72" s="3" t="inlineStr">
        <is>
          <t>Concrete Sidewalks (Condo I share)</t>
        </is>
      </c>
      <c r="C72" s="5" t="n">
        <v>6382</v>
      </c>
      <c r="D72" s="3" t="n">
        <v>2033</v>
      </c>
    </row>
    <row r="73">
      <c r="B73" s="3" t="inlineStr">
        <is>
          <t>Concrete Sidewalks (Condo II share)</t>
        </is>
      </c>
      <c r="C73" s="5" t="n">
        <v>2006</v>
      </c>
      <c r="D73" s="3" t="n">
        <v>2033</v>
      </c>
    </row>
    <row r="74">
      <c r="B74" s="3" t="inlineStr">
        <is>
          <t>Concrete Sidewalks (Condo III share)</t>
        </is>
      </c>
      <c r="C74" s="5" t="n">
        <v>1623</v>
      </c>
      <c r="D74" s="3" t="n">
        <v>2033</v>
      </c>
    </row>
    <row r="75">
      <c r="B75" s="3" t="inlineStr">
        <is>
          <t>Concrete Sidewalks (Condo IV share)</t>
        </is>
      </c>
      <c r="C75" s="5" t="n">
        <v>5086</v>
      </c>
      <c r="D75" s="3" t="n">
        <v>2033</v>
      </c>
    </row>
    <row r="76">
      <c r="B76" s="3" t="inlineStr">
        <is>
          <t>Curbing, Concrete</t>
        </is>
      </c>
      <c r="C76" s="5" t="n">
        <v>35000</v>
      </c>
      <c r="D76" s="3" t="n">
        <v>2036</v>
      </c>
    </row>
    <row r="77">
      <c r="B77" s="3" t="inlineStr">
        <is>
          <t>Entrance Sign - Large</t>
        </is>
      </c>
      <c r="C77" s="5" t="n">
        <v>20000</v>
      </c>
      <c r="D77" s="3" t="n">
        <v>2046</v>
      </c>
    </row>
    <row r="78">
      <c r="B78" s="3" t="inlineStr">
        <is>
          <t>Entrance Sign - Small</t>
        </is>
      </c>
      <c r="C78" s="5" t="n">
        <v>12000</v>
      </c>
      <c r="D78" s="3" t="n">
        <v>2046</v>
      </c>
    </row>
    <row r="79">
      <c r="B79" s="3" t="inlineStr">
        <is>
          <t>Fence, Vinyl Stockade</t>
        </is>
      </c>
      <c r="C79" s="5" t="n">
        <v>42500</v>
      </c>
      <c r="D79" s="3" t="n">
        <v>2043</v>
      </c>
    </row>
    <row r="80">
      <c r="B80" s="3" t="inlineStr">
        <is>
          <t>Fence, Wood Split Rail</t>
        </is>
      </c>
      <c r="C80" s="5" t="n">
        <v>122500</v>
      </c>
      <c r="D80" s="3" t="n">
        <v>2041</v>
      </c>
    </row>
    <row r="81">
      <c r="B81" s="3" t="inlineStr">
        <is>
          <t>Fire Alarm Control Panel</t>
        </is>
      </c>
      <c r="C81" s="5" t="n">
        <v>8000</v>
      </c>
      <c r="D81" s="3" t="n">
        <v>2033</v>
      </c>
    </row>
    <row r="82">
      <c r="B82" s="3" t="inlineStr">
        <is>
          <t>Fitness Room Refurbishment</t>
        </is>
      </c>
      <c r="C82" s="5" t="n">
        <v>5000</v>
      </c>
      <c r="D82" s="3" t="n">
        <v>2033</v>
      </c>
    </row>
    <row r="83">
      <c r="B83" s="3" t="inlineStr">
        <is>
          <t>Gutters - Clubhouse</t>
        </is>
      </c>
      <c r="C83" s="5" t="n">
        <v>2500</v>
      </c>
      <c r="D83" s="3" t="n">
        <v>2028</v>
      </c>
    </row>
    <row r="84">
      <c r="B84" s="3" t="inlineStr">
        <is>
          <t>Hot Water Heater</t>
        </is>
      </c>
      <c r="C84" s="5" t="n">
        <v>2500</v>
      </c>
    </row>
    <row r="85">
      <c r="B85" s="3" t="inlineStr">
        <is>
          <t>Kitchen Refurbishment</t>
        </is>
      </c>
      <c r="C85" s="5" t="n">
        <v>3500</v>
      </c>
      <c r="D85" s="3" t="n">
        <v>2033</v>
      </c>
    </row>
    <row r="86">
      <c r="B86" s="3" t="inlineStr">
        <is>
          <t>Leaders - Clubhouse</t>
        </is>
      </c>
      <c r="C86" s="5" t="n">
        <v>500</v>
      </c>
      <c r="D86" s="3" t="n">
        <v>2032</v>
      </c>
    </row>
    <row r="87">
      <c r="B87" s="3" t="inlineStr">
        <is>
          <t>Lights, Entry Clubhouse</t>
        </is>
      </c>
      <c r="C87" s="5" t="n">
        <v>2700</v>
      </c>
      <c r="D87" s="3" t="n">
        <v>2036</v>
      </c>
    </row>
    <row r="88">
      <c r="B88" s="3" t="inlineStr">
        <is>
          <t>Lights, Entrance Sign</t>
        </is>
      </c>
      <c r="C88" s="5" t="n">
        <v>1500</v>
      </c>
      <c r="D88" s="3" t="n">
        <v>2036</v>
      </c>
    </row>
    <row r="89">
      <c r="B89" s="3" t="inlineStr">
        <is>
          <t>Lights, Recessed</t>
        </is>
      </c>
      <c r="C89" s="5" t="n">
        <v>5500</v>
      </c>
      <c r="D89" s="3" t="n">
        <v>2033</v>
      </c>
    </row>
    <row r="90">
      <c r="B90" s="3" t="inlineStr">
        <is>
          <t>Lights, Street</t>
        </is>
      </c>
      <c r="C90" s="5" t="n">
        <v>83200</v>
      </c>
      <c r="D90" s="3" t="n">
        <v>2033</v>
      </c>
    </row>
    <row r="91">
      <c r="B91" s="3" t="inlineStr">
        <is>
          <t>Mailboxes</t>
        </is>
      </c>
      <c r="C91" s="5" t="n">
        <v>20400</v>
      </c>
      <c r="D91" s="3" t="n">
        <v>2049</v>
      </c>
    </row>
    <row r="92">
      <c r="B92" s="3" t="inlineStr">
        <is>
          <t>Pool Filter System</t>
        </is>
      </c>
      <c r="C92" s="5" t="n">
        <v>10000</v>
      </c>
      <c r="D92" s="3" t="n">
        <v>2036</v>
      </c>
    </row>
    <row r="93">
      <c r="B93" s="3" t="inlineStr">
        <is>
          <t>Roof, Shingles - Clubhouse</t>
        </is>
      </c>
      <c r="C93" s="5" t="n">
        <v>15620</v>
      </c>
      <c r="D93" s="3" t="n">
        <v>2032</v>
      </c>
    </row>
    <row r="94">
      <c r="B94" s="3" t="inlineStr">
        <is>
          <t>Seal Coating</t>
        </is>
      </c>
      <c r="C94" s="5" t="n">
        <v>16500</v>
      </c>
    </row>
    <row r="95">
      <c r="B95" s="3" t="inlineStr">
        <is>
          <t>Siding, Vinyl - Clubhouse</t>
        </is>
      </c>
      <c r="C95" s="5" t="n">
        <v>30000</v>
      </c>
      <c r="D95" s="3" t="n">
        <v>2048</v>
      </c>
    </row>
    <row r="96">
      <c r="B96" s="3" t="inlineStr">
        <is>
          <t>Skylights - Clubhouse</t>
        </is>
      </c>
      <c r="C96" s="5" t="n">
        <v>4500</v>
      </c>
      <c r="D96" s="3" t="n">
        <v>2032</v>
      </c>
    </row>
    <row r="97">
      <c r="B97" s="3" t="inlineStr">
        <is>
          <t>Stop Signs</t>
        </is>
      </c>
      <c r="C97" s="5" t="n">
        <v>2500</v>
      </c>
      <c r="D97" s="3" t="n">
        <v>2046</v>
      </c>
    </row>
    <row r="98">
      <c r="B98" s="3" t="inlineStr">
        <is>
          <t>Street Signs</t>
        </is>
      </c>
      <c r="C98" s="5" t="n">
        <v>2000</v>
      </c>
      <c r="D98" s="3" t="n">
        <v>2046</v>
      </c>
    </row>
    <row r="99">
      <c r="B99" s="3" t="inlineStr">
        <is>
          <t>Windows, Dbl Hung Double - Clubhouse</t>
        </is>
      </c>
      <c r="C99" s="5" t="n">
        <v>4000</v>
      </c>
      <c r="D99" s="3" t="n">
        <v>2053</v>
      </c>
    </row>
    <row r="100">
      <c r="B100" s="3" t="inlineStr">
        <is>
          <t>Windows, Dbl Hung Single - Clubhouse</t>
        </is>
      </c>
      <c r="C100" s="5" t="n">
        <v>2000</v>
      </c>
      <c r="D100" s="3" t="n">
        <v>2053</v>
      </c>
    </row>
    <row r="101">
      <c r="B101" s="3" t="inlineStr">
        <is>
          <t>Windows, Transom</t>
        </is>
      </c>
      <c r="C101" s="5" t="n">
        <v>1500</v>
      </c>
      <c r="D101" s="3" t="n">
        <v>2053</v>
      </c>
    </row>
    <row r="102">
      <c r="B102" s="3" t="inlineStr">
        <is>
          <t>Pool Shell Resurfacing</t>
        </is>
      </c>
      <c r="C102" s="5" t="n">
        <v>22620</v>
      </c>
      <c r="D102" s="3" t="n">
        <v>2027</v>
      </c>
    </row>
    <row r="103">
      <c r="B103" s="3" t="inlineStr">
        <is>
          <t>Pool Mechanical (pump/chlorinator/heater)</t>
        </is>
      </c>
      <c r="C103" s="5" t="n">
        <v>4000</v>
      </c>
      <c r="D103" s="3" t="n">
        <v>2028</v>
      </c>
    </row>
    <row r="104">
      <c r="B104" s="3" t="inlineStr">
        <is>
          <t>Pool Cover</t>
        </is>
      </c>
      <c r="C104" s="5" t="n">
        <v>4000</v>
      </c>
      <c r="D104" s="3" t="n">
        <v>2028</v>
      </c>
    </row>
    <row r="105">
      <c r="B105" s="3" t="inlineStr">
        <is>
          <t>Pool Furniture</t>
        </is>
      </c>
      <c r="C105" s="5" t="n">
        <v>12000</v>
      </c>
      <c r="D105" s="3" t="n">
        <v>2030</v>
      </c>
    </row>
    <row r="106">
      <c r="B106" s="3" t="inlineStr">
        <is>
          <t>Pool Fence / Safety Barrier</t>
        </is>
      </c>
      <c r="C106" s="5" t="n">
        <v>18425</v>
      </c>
      <c r="D106" s="3" t="n">
        <v>2035</v>
      </c>
    </row>
    <row r="107">
      <c r="B107" s="3" t="inlineStr">
        <is>
          <t>Split-Rail Fence — Repair Fund</t>
        </is>
      </c>
      <c r="C107" s="5" t="n">
        <v>3750</v>
      </c>
      <c r="D107" s="3" t="n">
        <v>2027</v>
      </c>
    </row>
    <row r="108">
      <c r="B108" s="3" t="inlineStr">
        <is>
          <t>Board-on-Board Fence (property line)</t>
        </is>
      </c>
      <c r="C108" s="5" t="n">
        <v>37350</v>
      </c>
      <c r="D108" s="3" t="n">
        <v>2034</v>
      </c>
    </row>
    <row r="110">
      <c r="B110" s="2" t="inlineStr">
        <is>
          <t>Items NOT Included (Budget Separately)</t>
        </is>
      </c>
    </row>
    <row r="111">
      <c r="B111" s="3" t="inlineStr">
        <is>
          <t>The following items from the Falcon 2022 report are NOT in the Becht 2026 study and are therefore NOT included in this funding schedule. Consider budgeting for these items separately.</t>
        </is>
      </c>
    </row>
    <row r="113">
      <c r="B113" s="4" t="inlineStr">
        <is>
          <t>Item</t>
        </is>
      </c>
      <c r="C113" s="4" t="inlineStr">
        <is>
          <t>Falcon Est. Cost</t>
        </is>
      </c>
      <c r="D113" s="4" t="inlineStr">
        <is>
          <t>Notes</t>
        </is>
      </c>
    </row>
    <row r="114">
      <c r="B114" s="3" t="inlineStr">
        <is>
          <t>Playground Equipment</t>
        </is>
      </c>
      <c r="C114" s="5" t="n">
        <v>27000</v>
      </c>
      <c r="D114" s="6" t="inlineStr">
        <is>
          <t>Will need replacement; Falcon estimated $27,000</t>
        </is>
      </c>
    </row>
    <row r="115">
      <c r="B115" s="3" t="inlineStr">
        <is>
          <t>Roadway Granite Block Entry</t>
        </is>
      </c>
      <c r="C115" s="5" t="n">
        <v>37875</v>
      </c>
      <c r="D115" s="6" t="inlineStr">
        <is>
          <t>Decorative entry feature; Falcon estimated $37,875</t>
        </is>
      </c>
    </row>
    <row r="116">
      <c r="B116" s="3" t="inlineStr">
        <is>
          <t>Clubhouse HVAC Split System</t>
        </is>
      </c>
      <c r="C116" s="5" t="n">
        <v>9000</v>
      </c>
      <c r="D116" s="6" t="inlineStr">
        <is>
          <t>Critical building system; Falcon estimated $9,000</t>
        </is>
      </c>
    </row>
    <row r="117">
      <c r="B117" s="3" t="inlineStr">
        <is>
          <t>Clubhouse Restroom/Lockers</t>
        </is>
      </c>
      <c r="C117" s="5" t="n">
        <v>30000</v>
      </c>
      <c r="D117" s="6" t="inlineStr">
        <is>
          <t>Large item; Falcon estimated $30,000</t>
        </is>
      </c>
    </row>
    <row r="118">
      <c r="B118" s="3" t="inlineStr">
        <is>
          <t>Clubhouse Flooring (carpet + tile)</t>
        </is>
      </c>
      <c r="C118" s="5" t="n">
        <v>8280</v>
      </c>
      <c r="D118" s="6" t="inlineStr">
        <is>
          <t>Falcon estimated $8,280 combined</t>
        </is>
      </c>
    </row>
    <row r="119">
      <c r="B119" s="3" t="inlineStr">
        <is>
          <t>Clubhouse Door, Main Entry</t>
        </is>
      </c>
      <c r="C119" s="5" t="n">
        <v>3500</v>
      </c>
      <c r="D119" s="6" t="inlineStr">
        <is>
          <t>Falcon estimated $3,500</t>
        </is>
      </c>
    </row>
    <row r="120">
      <c r="B120" s="3" t="inlineStr">
        <is>
          <t>Guard Rail</t>
        </is>
      </c>
      <c r="C120" s="5" t="n">
        <v>10880</v>
      </c>
      <c r="D120" s="6" t="inlineStr">
        <is>
          <t>Falcon estimated $10,880</t>
        </is>
      </c>
    </row>
    <row r="121">
      <c r="B121" s="3" t="inlineStr">
        <is>
          <t>Vinyl on Masonry Wall Fence</t>
        </is>
      </c>
      <c r="C121" s="5" t="n">
        <v>13950</v>
      </c>
      <c r="D121" s="6" t="inlineStr">
        <is>
          <t>Falcon estimated $13,950</t>
        </is>
      </c>
    </row>
    <row r="122">
      <c r="B122" s="3" t="inlineStr">
        <is>
          <t>Fire Suppression System</t>
        </is>
      </c>
      <c r="C122" s="5" t="n">
        <v>7500</v>
      </c>
      <c r="D122" s="6" t="inlineStr">
        <is>
          <t>Falcon estimated $7,500</t>
        </is>
      </c>
    </row>
    <row r="123">
      <c r="B123" s="3" t="inlineStr">
        <is>
          <t>Driveway Seal Coat - Condo II (recurring 5-yr cycle)</t>
        </is>
      </c>
      <c r="C123" s="5" t="n">
        <v>1400</v>
      </c>
      <c r="D123" s="6" t="inlineStr">
        <is>
          <t>Recurring maintenance; Falcon estimated $1,400/cycle</t>
        </is>
      </c>
    </row>
    <row r="124">
      <c r="B124" s="3" t="inlineStr">
        <is>
          <t>Driveway Seal Coat - Condo III (recurring 5-yr cycle)</t>
        </is>
      </c>
      <c r="C124" s="5" t="n">
        <v>588</v>
      </c>
      <c r="D124" s="6" t="inlineStr">
        <is>
          <t>Recurring maintenance; Falcon estimated $588/cycle</t>
        </is>
      </c>
    </row>
    <row r="125">
      <c r="B125" s="3" t="inlineStr">
        <is>
          <t>Driveway Seal Coat - Condo IV (recurring 5-yr cycle)</t>
        </is>
      </c>
      <c r="C125" s="5" t="n">
        <v>9473</v>
      </c>
      <c r="D125" s="6" t="inlineStr">
        <is>
          <t>Recurring maintenance; Falcon estimated $9,473/cycle</t>
        </is>
      </c>
    </row>
    <row r="126">
      <c r="B126" s="3" t="inlineStr">
        <is>
          <t>Mailbox Hut Restoration (Condo I)</t>
        </is>
      </c>
      <c r="C126" s="5" t="n">
        <v>1500</v>
      </c>
      <c r="D126" s="6" t="inlineStr">
        <is>
          <t>Falcon estimated $1,500</t>
        </is>
      </c>
    </row>
    <row r="127">
      <c r="B127" s="3" t="inlineStr">
        <is>
          <t>Walkway Pavers at Mailbox (Condo I)</t>
        </is>
      </c>
      <c r="C127" s="5" t="n">
        <v>2200</v>
      </c>
      <c r="D127" s="6" t="inlineStr">
        <is>
          <t>Falcon estimated $2,200</t>
        </is>
      </c>
    </row>
    <row r="128">
      <c r="B128" s="3" t="inlineStr">
        <is>
          <t>Irrigation Repair Fund</t>
        </is>
      </c>
      <c r="C128" s="5" t="n">
        <v>5000</v>
      </c>
      <c r="D128" s="6" t="inlineStr">
        <is>
          <t>Recurring; Falcon estimated $5,000</t>
        </is>
      </c>
    </row>
    <row r="129">
      <c r="B129" s="3" t="inlineStr">
        <is>
          <t>CCTV Security</t>
        </is>
      </c>
      <c r="C129" s="5" t="n">
        <v>2000</v>
      </c>
      <c r="D129" s="6" t="inlineStr">
        <is>
          <t>Falcon estimated $2,000</t>
        </is>
      </c>
    </row>
    <row r="130">
      <c r="B130" s="3" t="inlineStr">
        <is>
          <t>Key Fob Entry System</t>
        </is>
      </c>
      <c r="C130" s="5" t="n">
        <v>1500</v>
      </c>
      <c r="D130" s="6" t="inlineStr">
        <is>
          <t>Falcon estimated $1,500</t>
        </is>
      </c>
    </row>
    <row r="131">
      <c r="B131" s="4" t="inlineStr">
        <is>
          <t>TOTAL OMITTED</t>
        </is>
      </c>
      <c r="C131" s="7" t="n">
        <v>171646</v>
      </c>
    </row>
    <row r="133">
      <c r="B133" s="6" t="inlineStr">
        <is>
          <t>Prepared June 2026. Review and update annually.</t>
        </is>
      </c>
    </row>
  </sheetData>
  <mergeCells count="1">
    <mergeCell ref="B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5496"/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20" customWidth="1" min="3" max="3"/>
    <col width="18" customWidth="1" min="4" max="4"/>
    <col width="34" customWidth="1" min="5" max="5"/>
  </cols>
  <sheetData>
    <row r="1">
      <c r="A1" s="1" t="inlineStr">
        <is>
          <t>Scarborough Glen HOA — Fund Summary &amp; Reduction Readiness</t>
        </is>
      </c>
    </row>
    <row r="2">
      <c r="A2" s="6" t="inlineStr">
        <is>
          <t>Three decoupled funds. Yellow cells are inputs — replace placeholders with actual figures.</t>
        </is>
      </c>
    </row>
    <row r="4">
      <c r="A4" s="2" t="inlineStr">
        <is>
          <t>SHARED INPUTS</t>
        </is>
      </c>
    </row>
    <row r="5">
      <c r="A5" s="4" t="inlineStr">
        <is>
          <t>Total Reserve Cash (all accounts):</t>
        </is>
      </c>
      <c r="B5" s="8">
        <f>SUM(D12:D14)</f>
        <v/>
      </c>
      <c r="C5" s="6" t="inlineStr">
        <is>
          <t>Auto-total of the three fund starting balances (Allocated Start column).</t>
        </is>
      </c>
    </row>
    <row r="6">
      <c r="A6" s="4" t="inlineStr">
        <is>
          <t>Number of Units:</t>
        </is>
      </c>
      <c r="B6" s="9" t="n">
        <v>136</v>
      </c>
    </row>
    <row r="7">
      <c r="A7" s="4" t="inlineStr">
        <is>
          <t>Contribution Growth Rate:</t>
        </is>
      </c>
      <c r="B7" s="10" t="n">
        <v>0.03</v>
      </c>
    </row>
    <row r="8">
      <c r="A8" s="4" t="inlineStr">
        <is>
          <t>Interest Rate on Reserves:</t>
        </is>
      </c>
      <c r="B8" s="10" t="n">
        <v>0.01</v>
      </c>
    </row>
    <row r="10">
      <c r="A10" s="2" t="inlineStr">
        <is>
          <t>THE THREE FUNDS</t>
        </is>
      </c>
    </row>
    <row r="11">
      <c r="A11" s="11" t="inlineStr">
        <is>
          <t>Fund</t>
        </is>
      </c>
      <c r="B11" s="11" t="inlineStr">
        <is>
          <t>Target / Floor</t>
        </is>
      </c>
      <c r="C11" s="11" t="inlineStr">
        <is>
          <t>Year-1 Contribution</t>
        </is>
      </c>
      <c r="D11" s="11" t="inlineStr">
        <is>
          <t>Allocated Start</t>
        </is>
      </c>
      <c r="E11" s="11" t="inlineStr">
        <is>
          <t>Floor Rule</t>
        </is>
      </c>
    </row>
    <row r="12">
      <c r="A12" s="12" t="inlineStr">
        <is>
          <t>1. Emergency Reserve</t>
        </is>
      </c>
      <c r="B12" s="9" t="n">
        <v>200000</v>
      </c>
      <c r="C12" s="9" t="n">
        <v>37000</v>
      </c>
      <c r="D12" s="9" t="n">
        <v>0</v>
      </c>
      <c r="E12" s="13" t="inlineStr">
        <is>
          <t>Reach &amp; hold target (largest common asset (clubhouse / pool))</t>
        </is>
      </c>
    </row>
    <row r="13">
      <c r="A13" s="12" t="inlineStr">
        <is>
          <t>2. Long-Term Maintenance</t>
        </is>
      </c>
      <c r="B13" s="8" t="n">
        <v>0</v>
      </c>
      <c r="C13" s="9" t="n">
        <v>94000</v>
      </c>
      <c r="D13" s="9" t="n">
        <v>220553</v>
      </c>
      <c r="E13" s="13" t="inlineStr">
        <is>
          <t>Never below $0 (Becht capital schedule)</t>
        </is>
      </c>
    </row>
    <row r="14">
      <c r="A14" s="12" t="inlineStr">
        <is>
          <t>3. Operating Reserve</t>
        </is>
      </c>
      <c r="B14" s="8">
        <f>B38*B37</f>
        <v/>
      </c>
      <c r="C14" s="9" t="n">
        <v>0</v>
      </c>
      <c r="D14" s="9" t="n">
        <v>143781</v>
      </c>
      <c r="E14" s="13" t="inlineStr">
        <is>
          <t>≥ multiplier x monthly op. expense (set below)</t>
        </is>
      </c>
    </row>
    <row r="15">
      <c r="A15" s="14" t="inlineStr">
        <is>
          <t>TOTAL</t>
        </is>
      </c>
      <c r="C15" s="8">
        <f>SUM(C12:C14)</f>
        <v/>
      </c>
      <c r="D15" s="8">
        <f>SUM(D12:D14)</f>
        <v/>
      </c>
    </row>
    <row r="16">
      <c r="A16" s="6" t="inlineStr">
        <is>
          <t>Allocated Start = each fund's current balance (yellow, editable); Total Reserve Cash (B5) is their sum. Recommended: fund near-term Long-Term Maintenance and Operating liquidity first, and build the Emergency Reserve from contributions over time.</t>
        </is>
      </c>
    </row>
    <row r="18">
      <c r="A18" s="2" t="inlineStr">
        <is>
          <t>LONG-TERM MAINTENANCE — FUNDING HEALTH</t>
        </is>
      </c>
    </row>
    <row r="19">
      <c r="A19" s="4" t="inlineStr">
        <is>
          <t>Fully Funded Balance (FFB — what LTM should hold today):</t>
        </is>
      </c>
      <c r="B19" s="8" t="n">
        <v>722755</v>
      </c>
    </row>
    <row r="20">
      <c r="A20" s="4" t="inlineStr">
        <is>
          <t>LTM Reserve (allocated start):</t>
        </is>
      </c>
      <c r="B20" s="15">
        <f>D13</f>
        <v/>
      </c>
    </row>
    <row r="21">
      <c r="A21" s="4" t="inlineStr">
        <is>
          <t>Percent Funded:</t>
        </is>
      </c>
      <c r="B21" s="16">
        <f>IF(B19=0,0,B20/B19)</f>
        <v/>
      </c>
      <c r="C21" s="3">
        <f>IF(B21&lt;0.3,"WEAK (&lt;30% - high special-assessment risk)",IF(B21&lt;0.7,"FAIR (30-70%)","STRONG (70%+)"))</f>
        <v/>
      </c>
    </row>
    <row r="22">
      <c r="A22" s="6" t="inlineStr">
        <is>
          <t>CAI bands: under 30% = weak; 30-70% = fair; 70%+ = strong.</t>
        </is>
      </c>
    </row>
    <row r="24">
      <c r="A24" s="2" t="inlineStr">
        <is>
          <t>REDUCTION READINESS — ALL THREE GATES MUST PASS</t>
        </is>
      </c>
    </row>
    <row r="25">
      <c r="A25" s="11" t="inlineStr">
        <is>
          <t>Gate</t>
        </is>
      </c>
      <c r="B25" s="11" t="inlineStr">
        <is>
          <t>Target</t>
        </is>
      </c>
      <c r="C25" s="11" t="inlineStr">
        <is>
          <t>Actual</t>
        </is>
      </c>
      <c r="D25" s="11" t="inlineStr">
        <is>
          <t>Status</t>
        </is>
      </c>
    </row>
    <row r="26">
      <c r="A26" s="12" t="inlineStr">
        <is>
          <t>1. Emergency Reserve funded to target</t>
        </is>
      </c>
      <c r="B26" s="15">
        <f>B12</f>
        <v/>
      </c>
      <c r="C26" s="15">
        <f>D12</f>
        <v/>
      </c>
      <c r="D26" s="17">
        <f>IF(D12&gt;=B12,"PASS","FAIL")</f>
        <v/>
      </c>
    </row>
    <row r="27">
      <c r="A27" s="12" t="inlineStr">
        <is>
          <t>2. Long-Term Maintenance never below $0</t>
        </is>
      </c>
      <c r="B27" s="15" t="n">
        <v>0</v>
      </c>
      <c r="C27" s="15">
        <f>MIN('Long-Term Maintenance'!F5:F29)</f>
        <v/>
      </c>
      <c r="D27" s="17">
        <f>IF(C27&gt;=B27,"PASS","FAIL")</f>
        <v/>
      </c>
    </row>
    <row r="28">
      <c r="A28" s="12" t="inlineStr">
        <is>
          <t>3. Operating Reserve at/above its floor</t>
        </is>
      </c>
      <c r="B28" s="15">
        <f>B14</f>
        <v/>
      </c>
      <c r="C28" s="15">
        <f>MIN('Operating Reserve'!F5:F29)</f>
        <v/>
      </c>
      <c r="D28" s="17">
        <f>IF(C28&gt;=B28,"PASS","FAIL")</f>
        <v/>
      </c>
    </row>
    <row r="29">
      <c r="A29" s="14" t="inlineStr">
        <is>
          <t>OVERALL</t>
        </is>
      </c>
      <c r="D29" s="18">
        <f>IF(AND(D26="PASS",D27="PASS",D28="PASS"),"ELIGIBLE TO CONSIDER REDUCTION","NOT ELIGIBLE — HOLD DUES")</f>
        <v/>
      </c>
    </row>
    <row r="31">
      <c r="A31" s="4" t="inlineStr">
        <is>
          <t>Combined Monthly Cost per Unit (Year 1, all three funds):</t>
        </is>
      </c>
      <c r="B31" s="19">
        <f>(C12+C13+C14)/B6/12</f>
        <v/>
      </c>
    </row>
    <row r="32">
      <c r="A32" s="6" t="inlineStr">
        <is>
          <t>Grows at the Growth Rate each year; this is Year-1. Add the HOA per-unit amount for a unit owner's all-in monthly.</t>
        </is>
      </c>
    </row>
    <row r="34">
      <c r="A34" s="6" t="inlineStr">
        <is>
          <t>To model a dues reduction: lower a fund's Year-1 Contribution above and watch the gates. Any gate turning FAIL means the reduction is not supported.</t>
        </is>
      </c>
    </row>
    <row r="36">
      <c r="A36" s="2" t="inlineStr">
        <is>
          <t>OPERATING RESERVE BASIS</t>
        </is>
      </c>
    </row>
    <row r="37">
      <c r="A37" s="4" t="inlineStr">
        <is>
          <t>Monthly Operating Expense:</t>
        </is>
      </c>
      <c r="B37" s="9" t="n">
        <v>47927</v>
      </c>
      <c r="C37" s="6" t="inlineStr">
        <is>
          <t>The association's total monthly operating spend (excludes reserve contributions).</t>
        </is>
      </c>
    </row>
    <row r="38">
      <c r="A38" s="4" t="inlineStr">
        <is>
          <t>Operating Reserve Multiplier (months, 1-3):</t>
        </is>
      </c>
      <c r="B38" s="20" t="n">
        <v>3</v>
      </c>
      <c r="C38" s="6" t="inlineStr">
        <is>
          <t>Operating Reserve floor (row 14) = this multiplier x monthly operating expense.</t>
        </is>
      </c>
    </row>
    <row r="40">
      <c r="A40" s="2" t="inlineStr">
        <is>
          <t>MONTHLY FUNDING PER UNIT (Year 1)</t>
        </is>
      </c>
    </row>
    <row r="41">
      <c r="A41" s="11" t="inlineStr">
        <is>
          <t>Fund</t>
        </is>
      </c>
      <c r="B41" s="11" t="inlineStr">
        <is>
          <t>$ / unit / month</t>
        </is>
      </c>
    </row>
    <row r="42">
      <c r="A42" s="12" t="inlineStr">
        <is>
          <t>Emergency Reserve</t>
        </is>
      </c>
      <c r="B42" s="21">
        <f>C12/$B$6/12</f>
        <v/>
      </c>
    </row>
    <row r="43">
      <c r="A43" s="12" t="inlineStr">
        <is>
          <t>Long-Term Maintenance</t>
        </is>
      </c>
      <c r="B43" s="21">
        <f>C13/$B$6/12</f>
        <v/>
      </c>
    </row>
    <row r="44">
      <c r="A44" s="12" t="inlineStr">
        <is>
          <t>Operating Reserve</t>
        </is>
      </c>
      <c r="B44" s="21">
        <f>C14/$B$6/12</f>
        <v/>
      </c>
    </row>
    <row r="45">
      <c r="A45" s="14" t="inlineStr">
        <is>
          <t>TOTAL reserve funding / unit / month</t>
        </is>
      </c>
      <c r="B45" s="22">
        <f>(C12+C13+C14)/$B$6/12</f>
        <v/>
      </c>
    </row>
    <row r="46">
      <c r="A46" s="6" t="inlineStr">
        <is>
          <t>Equal per-unit split (fund contribution / units / 12); grows ~3%/yr. Excludes the separate $365/unit HOA dues. If common charges are set by percentage interest, larger units pay proportionally more than this average.</t>
        </is>
      </c>
    </row>
  </sheetData>
  <mergeCells count="1">
    <mergeCell ref="B29:C29"/>
  </mergeCells>
  <conditionalFormatting sqref="B21">
    <cfRule type="cellIs" priority="1" operator="lessThan" dxfId="0">
      <formula>0.3</formula>
    </cfRule>
    <cfRule type="cellIs" priority="2" operator="between" dxfId="1">
      <formula>0.3</formula>
      <formula>0.6999</formula>
    </cfRule>
    <cfRule type="cellIs" priority="3" operator="greaterThanOrEqual" dxfId="2">
      <formula>0.7</formula>
    </cfRule>
  </conditionalFormatting>
  <conditionalFormatting sqref="D26">
    <cfRule type="expression" priority="4" dxfId="0">
      <formula>D26="FAIL"</formula>
    </cfRule>
    <cfRule type="expression" priority="5" dxfId="2">
      <formula>D26="PASS"</formula>
    </cfRule>
  </conditionalFormatting>
  <conditionalFormatting sqref="D27">
    <cfRule type="expression" priority="6" dxfId="0">
      <formula>D27="FAIL"</formula>
    </cfRule>
    <cfRule type="expression" priority="7" dxfId="2">
      <formula>D27="PASS"</formula>
    </cfRule>
  </conditionalFormatting>
  <conditionalFormatting sqref="D28">
    <cfRule type="expression" priority="8" dxfId="0">
      <formula>D28="FAIL"</formula>
    </cfRule>
    <cfRule type="expression" priority="9" dxfId="2">
      <formula>D28="PASS"</formula>
    </cfRule>
  </conditionalFormatting>
  <conditionalFormatting sqref="D29">
    <cfRule type="expression" priority="10" dxfId="0">
      <formula>ISNUMBER(SEARCH("NOT",D29))</formula>
    </cfRule>
    <cfRule type="expression" priority="11" dxfId="2">
      <formula>ISNUMBER(SEARCH("CONSIDER",D29))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J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18" customWidth="1" min="4" max="4"/>
    <col width="16" customWidth="1" min="5" max="5"/>
    <col width="18" customWidth="1" min="6" max="6"/>
    <col width="18" customWidth="1" min="7" max="7"/>
    <col width="16" customWidth="1" min="8" max="8"/>
    <col width="26" customWidth="1" min="10" max="10"/>
  </cols>
  <sheetData>
    <row r="1">
      <c r="A1" s="1" t="inlineStr">
        <is>
          <t>Scarborough Glen HOA — Emergency Reserve</t>
        </is>
      </c>
      <c r="J1" s="6" t="inlineStr">
        <is>
          <t>Floor (from Fund Summary):</t>
        </is>
      </c>
    </row>
    <row r="2">
      <c r="A2" s="6" t="inlineStr">
        <is>
          <t>All inputs are set on the Fund Summary sheet. This tab is calculated.</t>
        </is>
      </c>
      <c r="J2" s="23">
        <f>'Fund Summary'!$B$12</f>
        <v/>
      </c>
    </row>
    <row r="4">
      <c r="A4" s="11" t="inlineStr">
        <is>
          <t>Year</t>
        </is>
      </c>
      <c r="B4" s="11" t="inlineStr">
        <is>
          <t>Opening Balance</t>
        </is>
      </c>
      <c r="C4" s="11" t="inlineStr">
        <is>
          <t>Annual Contribution</t>
        </is>
      </c>
      <c r="D4" s="11" t="inlineStr">
        <is>
          <t>Disbursement</t>
        </is>
      </c>
      <c r="E4" s="11" t="inlineStr">
        <is>
          <t>Interest Earned</t>
        </is>
      </c>
      <c r="F4" s="11" t="inlineStr">
        <is>
          <t>Closing Balance</t>
        </is>
      </c>
      <c r="G4" s="11" t="inlineStr">
        <is>
          <t>Monthly Cost/Unit</t>
        </is>
      </c>
      <c r="H4" s="11" t="inlineStr">
        <is>
          <t>Status</t>
        </is>
      </c>
    </row>
    <row r="5">
      <c r="A5" s="12" t="n">
        <v>2026</v>
      </c>
      <c r="B5" s="15">
        <f>'Fund Summary'!$D$12</f>
        <v/>
      </c>
      <c r="C5" s="15">
        <f>IF('Fund Summary'!$D$12&gt;='Fund Summary'!$B$12,0,'Fund Summary'!$C$12)</f>
        <v/>
      </c>
      <c r="D5" s="15" t="n">
        <v>0</v>
      </c>
      <c r="E5" s="15">
        <f>B5*'Fund Summary'!$B$8</f>
        <v/>
      </c>
      <c r="F5" s="15">
        <f>B5+C5-D5+E5</f>
        <v/>
      </c>
      <c r="G5" s="24">
        <f>C5/'Fund Summary'!$B$6/12</f>
        <v/>
      </c>
      <c r="H5" s="17">
        <f>IF(F5&gt;='Fund Summary'!$B$12,"FUNDED","BUILDING")</f>
        <v/>
      </c>
    </row>
    <row r="6">
      <c r="A6" s="12" t="n">
        <v>2027</v>
      </c>
      <c r="B6" s="15">
        <f>F5</f>
        <v/>
      </c>
      <c r="C6" s="15">
        <f>IF(F5&gt;='Fund Summary'!$B$12,0,'Fund Summary'!$C$12*(1+'Fund Summary'!$B$7)^1)</f>
        <v/>
      </c>
      <c r="D6" s="15" t="n">
        <v>0</v>
      </c>
      <c r="E6" s="15">
        <f>B6*'Fund Summary'!$B$8</f>
        <v/>
      </c>
      <c r="F6" s="15">
        <f>B6+C6-D6+E6</f>
        <v/>
      </c>
      <c r="G6" s="24">
        <f>C6/'Fund Summary'!$B$6/12</f>
        <v/>
      </c>
      <c r="H6" s="17">
        <f>IF(F6&gt;='Fund Summary'!$B$12,"FUNDED","BUILDING")</f>
        <v/>
      </c>
    </row>
    <row r="7">
      <c r="A7" s="12" t="n">
        <v>2028</v>
      </c>
      <c r="B7" s="15">
        <f>F6</f>
        <v/>
      </c>
      <c r="C7" s="15">
        <f>IF(F6&gt;='Fund Summary'!$B$12,0,'Fund Summary'!$C$12*(1+'Fund Summary'!$B$7)^2)</f>
        <v/>
      </c>
      <c r="D7" s="15" t="n">
        <v>0</v>
      </c>
      <c r="E7" s="15">
        <f>B7*'Fund Summary'!$B$8</f>
        <v/>
      </c>
      <c r="F7" s="15">
        <f>B7+C7-D7+E7</f>
        <v/>
      </c>
      <c r="G7" s="24">
        <f>C7/'Fund Summary'!$B$6/12</f>
        <v/>
      </c>
      <c r="H7" s="17">
        <f>IF(F7&gt;='Fund Summary'!$B$12,"FUNDED","BUILDING")</f>
        <v/>
      </c>
    </row>
    <row r="8">
      <c r="A8" s="12" t="n">
        <v>2029</v>
      </c>
      <c r="B8" s="15">
        <f>F7</f>
        <v/>
      </c>
      <c r="C8" s="15">
        <f>IF(F7&gt;='Fund Summary'!$B$12,0,'Fund Summary'!$C$12*(1+'Fund Summary'!$B$7)^3)</f>
        <v/>
      </c>
      <c r="D8" s="15" t="n">
        <v>0</v>
      </c>
      <c r="E8" s="15">
        <f>B8*'Fund Summary'!$B$8</f>
        <v/>
      </c>
      <c r="F8" s="15">
        <f>B8+C8-D8+E8</f>
        <v/>
      </c>
      <c r="G8" s="24">
        <f>C8/'Fund Summary'!$B$6/12</f>
        <v/>
      </c>
      <c r="H8" s="17">
        <f>IF(F8&gt;='Fund Summary'!$B$12,"FUNDED","BUILDING")</f>
        <v/>
      </c>
    </row>
    <row r="9">
      <c r="A9" s="12" t="n">
        <v>2030</v>
      </c>
      <c r="B9" s="15">
        <f>F8</f>
        <v/>
      </c>
      <c r="C9" s="15">
        <f>IF(F8&gt;='Fund Summary'!$B$12,0,'Fund Summary'!$C$12*(1+'Fund Summary'!$B$7)^4)</f>
        <v/>
      </c>
      <c r="D9" s="15" t="n">
        <v>0</v>
      </c>
      <c r="E9" s="15">
        <f>B9*'Fund Summary'!$B$8</f>
        <v/>
      </c>
      <c r="F9" s="15">
        <f>B9+C9-D9+E9</f>
        <v/>
      </c>
      <c r="G9" s="24">
        <f>C9/'Fund Summary'!$B$6/12</f>
        <v/>
      </c>
      <c r="H9" s="17">
        <f>IF(F9&gt;='Fund Summary'!$B$12,"FUNDED","BUILDING")</f>
        <v/>
      </c>
    </row>
    <row r="10">
      <c r="A10" s="12" t="n">
        <v>2031</v>
      </c>
      <c r="B10" s="15">
        <f>F9</f>
        <v/>
      </c>
      <c r="C10" s="15">
        <f>IF(F9&gt;='Fund Summary'!$B$12,0,'Fund Summary'!$C$12*(1+'Fund Summary'!$B$7)^5)</f>
        <v/>
      </c>
      <c r="D10" s="15" t="n">
        <v>0</v>
      </c>
      <c r="E10" s="15">
        <f>B10*'Fund Summary'!$B$8</f>
        <v/>
      </c>
      <c r="F10" s="15">
        <f>B10+C10-D10+E10</f>
        <v/>
      </c>
      <c r="G10" s="24">
        <f>C10/'Fund Summary'!$B$6/12</f>
        <v/>
      </c>
      <c r="H10" s="17">
        <f>IF(F10&gt;='Fund Summary'!$B$12,"FUNDED","BUILDING")</f>
        <v/>
      </c>
    </row>
    <row r="11">
      <c r="A11" s="12" t="n">
        <v>2032</v>
      </c>
      <c r="B11" s="15">
        <f>F10</f>
        <v/>
      </c>
      <c r="C11" s="15">
        <f>IF(F10&gt;='Fund Summary'!$B$12,0,'Fund Summary'!$C$12*(1+'Fund Summary'!$B$7)^6)</f>
        <v/>
      </c>
      <c r="D11" s="15" t="n">
        <v>0</v>
      </c>
      <c r="E11" s="15">
        <f>B11*'Fund Summary'!$B$8</f>
        <v/>
      </c>
      <c r="F11" s="15">
        <f>B11+C11-D11+E11</f>
        <v/>
      </c>
      <c r="G11" s="24">
        <f>C11/'Fund Summary'!$B$6/12</f>
        <v/>
      </c>
      <c r="H11" s="17">
        <f>IF(F11&gt;='Fund Summary'!$B$12,"FUNDED","BUILDING")</f>
        <v/>
      </c>
    </row>
    <row r="12">
      <c r="A12" s="12" t="n">
        <v>2033</v>
      </c>
      <c r="B12" s="15">
        <f>F11</f>
        <v/>
      </c>
      <c r="C12" s="15">
        <f>IF(F11&gt;='Fund Summary'!$B$12,0,'Fund Summary'!$C$12*(1+'Fund Summary'!$B$7)^7)</f>
        <v/>
      </c>
      <c r="D12" s="15" t="n">
        <v>0</v>
      </c>
      <c r="E12" s="15">
        <f>B12*'Fund Summary'!$B$8</f>
        <v/>
      </c>
      <c r="F12" s="15">
        <f>B12+C12-D12+E12</f>
        <v/>
      </c>
      <c r="G12" s="24">
        <f>C12/'Fund Summary'!$B$6/12</f>
        <v/>
      </c>
      <c r="H12" s="17">
        <f>IF(F12&gt;='Fund Summary'!$B$12,"FUNDED","BUILDING")</f>
        <v/>
      </c>
    </row>
    <row r="13">
      <c r="A13" s="12" t="n">
        <v>2034</v>
      </c>
      <c r="B13" s="15">
        <f>F12</f>
        <v/>
      </c>
      <c r="C13" s="15">
        <f>IF(F12&gt;='Fund Summary'!$B$12,0,'Fund Summary'!$C$12*(1+'Fund Summary'!$B$7)^8)</f>
        <v/>
      </c>
      <c r="D13" s="15" t="n">
        <v>0</v>
      </c>
      <c r="E13" s="15">
        <f>B13*'Fund Summary'!$B$8</f>
        <v/>
      </c>
      <c r="F13" s="15">
        <f>B13+C13-D13+E13</f>
        <v/>
      </c>
      <c r="G13" s="24">
        <f>C13/'Fund Summary'!$B$6/12</f>
        <v/>
      </c>
      <c r="H13" s="17">
        <f>IF(F13&gt;='Fund Summary'!$B$12,"FUNDED","BUILDING")</f>
        <v/>
      </c>
    </row>
    <row r="14">
      <c r="A14" s="12" t="n">
        <v>2035</v>
      </c>
      <c r="B14" s="15">
        <f>F13</f>
        <v/>
      </c>
      <c r="C14" s="15">
        <f>IF(F13&gt;='Fund Summary'!$B$12,0,'Fund Summary'!$C$12*(1+'Fund Summary'!$B$7)^9)</f>
        <v/>
      </c>
      <c r="D14" s="15" t="n">
        <v>0</v>
      </c>
      <c r="E14" s="15">
        <f>B14*'Fund Summary'!$B$8</f>
        <v/>
      </c>
      <c r="F14" s="15">
        <f>B14+C14-D14+E14</f>
        <v/>
      </c>
      <c r="G14" s="24">
        <f>C14/'Fund Summary'!$B$6/12</f>
        <v/>
      </c>
      <c r="H14" s="17">
        <f>IF(F14&gt;='Fund Summary'!$B$12,"FUNDED","BUILDING")</f>
        <v/>
      </c>
    </row>
    <row r="15">
      <c r="A15" s="12" t="n">
        <v>2036</v>
      </c>
      <c r="B15" s="15">
        <f>F14</f>
        <v/>
      </c>
      <c r="C15" s="15">
        <f>IF(F14&gt;='Fund Summary'!$B$12,0,'Fund Summary'!$C$12*(1+'Fund Summary'!$B$7)^10)</f>
        <v/>
      </c>
      <c r="D15" s="15" t="n">
        <v>0</v>
      </c>
      <c r="E15" s="15">
        <f>B15*'Fund Summary'!$B$8</f>
        <v/>
      </c>
      <c r="F15" s="15">
        <f>B15+C15-D15+E15</f>
        <v/>
      </c>
      <c r="G15" s="24">
        <f>C15/'Fund Summary'!$B$6/12</f>
        <v/>
      </c>
      <c r="H15" s="17">
        <f>IF(F15&gt;='Fund Summary'!$B$12,"FUNDED","BUILDING")</f>
        <v/>
      </c>
    </row>
    <row r="16">
      <c r="A16" s="12" t="n">
        <v>2037</v>
      </c>
      <c r="B16" s="15">
        <f>F15</f>
        <v/>
      </c>
      <c r="C16" s="15">
        <f>IF(F15&gt;='Fund Summary'!$B$12,0,'Fund Summary'!$C$12*(1+'Fund Summary'!$B$7)^11)</f>
        <v/>
      </c>
      <c r="D16" s="15" t="n">
        <v>0</v>
      </c>
      <c r="E16" s="15">
        <f>B16*'Fund Summary'!$B$8</f>
        <v/>
      </c>
      <c r="F16" s="15">
        <f>B16+C16-D16+E16</f>
        <v/>
      </c>
      <c r="G16" s="24">
        <f>C16/'Fund Summary'!$B$6/12</f>
        <v/>
      </c>
      <c r="H16" s="17">
        <f>IF(F16&gt;='Fund Summary'!$B$12,"FUNDED","BUILDING")</f>
        <v/>
      </c>
    </row>
    <row r="17">
      <c r="A17" s="12" t="n">
        <v>2038</v>
      </c>
      <c r="B17" s="15">
        <f>F16</f>
        <v/>
      </c>
      <c r="C17" s="15">
        <f>IF(F16&gt;='Fund Summary'!$B$12,0,'Fund Summary'!$C$12*(1+'Fund Summary'!$B$7)^12)</f>
        <v/>
      </c>
      <c r="D17" s="15" t="n">
        <v>0</v>
      </c>
      <c r="E17" s="15">
        <f>B17*'Fund Summary'!$B$8</f>
        <v/>
      </c>
      <c r="F17" s="15">
        <f>B17+C17-D17+E17</f>
        <v/>
      </c>
      <c r="G17" s="24">
        <f>C17/'Fund Summary'!$B$6/12</f>
        <v/>
      </c>
      <c r="H17" s="17">
        <f>IF(F17&gt;='Fund Summary'!$B$12,"FUNDED","BUILDING")</f>
        <v/>
      </c>
    </row>
    <row r="18">
      <c r="A18" s="12" t="n">
        <v>2039</v>
      </c>
      <c r="B18" s="15">
        <f>F17</f>
        <v/>
      </c>
      <c r="C18" s="15">
        <f>IF(F17&gt;='Fund Summary'!$B$12,0,'Fund Summary'!$C$12*(1+'Fund Summary'!$B$7)^13)</f>
        <v/>
      </c>
      <c r="D18" s="15" t="n">
        <v>0</v>
      </c>
      <c r="E18" s="15">
        <f>B18*'Fund Summary'!$B$8</f>
        <v/>
      </c>
      <c r="F18" s="15">
        <f>B18+C18-D18+E18</f>
        <v/>
      </c>
      <c r="G18" s="24">
        <f>C18/'Fund Summary'!$B$6/12</f>
        <v/>
      </c>
      <c r="H18" s="17">
        <f>IF(F18&gt;='Fund Summary'!$B$12,"FUNDED","BUILDING")</f>
        <v/>
      </c>
    </row>
    <row r="19">
      <c r="A19" s="12" t="n">
        <v>2040</v>
      </c>
      <c r="B19" s="15">
        <f>F18</f>
        <v/>
      </c>
      <c r="C19" s="15">
        <f>IF(F18&gt;='Fund Summary'!$B$12,0,'Fund Summary'!$C$12*(1+'Fund Summary'!$B$7)^14)</f>
        <v/>
      </c>
      <c r="D19" s="15" t="n">
        <v>0</v>
      </c>
      <c r="E19" s="15">
        <f>B19*'Fund Summary'!$B$8</f>
        <v/>
      </c>
      <c r="F19" s="15">
        <f>B19+C19-D19+E19</f>
        <v/>
      </c>
      <c r="G19" s="24">
        <f>C19/'Fund Summary'!$B$6/12</f>
        <v/>
      </c>
      <c r="H19" s="17">
        <f>IF(F19&gt;='Fund Summary'!$B$12,"FUNDED","BUILDING")</f>
        <v/>
      </c>
    </row>
    <row r="20">
      <c r="A20" s="12" t="n">
        <v>2041</v>
      </c>
      <c r="B20" s="15">
        <f>F19</f>
        <v/>
      </c>
      <c r="C20" s="15">
        <f>IF(F19&gt;='Fund Summary'!$B$12,0,'Fund Summary'!$C$12*(1+'Fund Summary'!$B$7)^15)</f>
        <v/>
      </c>
      <c r="D20" s="15" t="n">
        <v>0</v>
      </c>
      <c r="E20" s="15">
        <f>B20*'Fund Summary'!$B$8</f>
        <v/>
      </c>
      <c r="F20" s="15">
        <f>B20+C20-D20+E20</f>
        <v/>
      </c>
      <c r="G20" s="24">
        <f>C20/'Fund Summary'!$B$6/12</f>
        <v/>
      </c>
      <c r="H20" s="17">
        <f>IF(F20&gt;='Fund Summary'!$B$12,"FUNDED","BUILDING")</f>
        <v/>
      </c>
    </row>
    <row r="21">
      <c r="A21" s="12" t="n">
        <v>2042</v>
      </c>
      <c r="B21" s="15">
        <f>F20</f>
        <v/>
      </c>
      <c r="C21" s="15">
        <f>IF(F20&gt;='Fund Summary'!$B$12,0,'Fund Summary'!$C$12*(1+'Fund Summary'!$B$7)^16)</f>
        <v/>
      </c>
      <c r="D21" s="15" t="n">
        <v>0</v>
      </c>
      <c r="E21" s="15">
        <f>B21*'Fund Summary'!$B$8</f>
        <v/>
      </c>
      <c r="F21" s="15">
        <f>B21+C21-D21+E21</f>
        <v/>
      </c>
      <c r="G21" s="24">
        <f>C21/'Fund Summary'!$B$6/12</f>
        <v/>
      </c>
      <c r="H21" s="17">
        <f>IF(F21&gt;='Fund Summary'!$B$12,"FUNDED","BUILDING")</f>
        <v/>
      </c>
    </row>
    <row r="22">
      <c r="A22" s="12" t="n">
        <v>2043</v>
      </c>
      <c r="B22" s="15">
        <f>F21</f>
        <v/>
      </c>
      <c r="C22" s="15">
        <f>IF(F21&gt;='Fund Summary'!$B$12,0,'Fund Summary'!$C$12*(1+'Fund Summary'!$B$7)^17)</f>
        <v/>
      </c>
      <c r="D22" s="15" t="n">
        <v>0</v>
      </c>
      <c r="E22" s="15">
        <f>B22*'Fund Summary'!$B$8</f>
        <v/>
      </c>
      <c r="F22" s="15">
        <f>B22+C22-D22+E22</f>
        <v/>
      </c>
      <c r="G22" s="24">
        <f>C22/'Fund Summary'!$B$6/12</f>
        <v/>
      </c>
      <c r="H22" s="17">
        <f>IF(F22&gt;='Fund Summary'!$B$12,"FUNDED","BUILDING")</f>
        <v/>
      </c>
    </row>
    <row r="23">
      <c r="A23" s="12" t="n">
        <v>2044</v>
      </c>
      <c r="B23" s="15">
        <f>F22</f>
        <v/>
      </c>
      <c r="C23" s="15">
        <f>IF(F22&gt;='Fund Summary'!$B$12,0,'Fund Summary'!$C$12*(1+'Fund Summary'!$B$7)^18)</f>
        <v/>
      </c>
      <c r="D23" s="15" t="n">
        <v>0</v>
      </c>
      <c r="E23" s="15">
        <f>B23*'Fund Summary'!$B$8</f>
        <v/>
      </c>
      <c r="F23" s="15">
        <f>B23+C23-D23+E23</f>
        <v/>
      </c>
      <c r="G23" s="24">
        <f>C23/'Fund Summary'!$B$6/12</f>
        <v/>
      </c>
      <c r="H23" s="17">
        <f>IF(F23&gt;='Fund Summary'!$B$12,"FUNDED","BUILDING")</f>
        <v/>
      </c>
    </row>
    <row r="24">
      <c r="A24" s="12" t="n">
        <v>2045</v>
      </c>
      <c r="B24" s="15">
        <f>F23</f>
        <v/>
      </c>
      <c r="C24" s="15">
        <f>IF(F23&gt;='Fund Summary'!$B$12,0,'Fund Summary'!$C$12*(1+'Fund Summary'!$B$7)^19)</f>
        <v/>
      </c>
      <c r="D24" s="15" t="n">
        <v>0</v>
      </c>
      <c r="E24" s="15">
        <f>B24*'Fund Summary'!$B$8</f>
        <v/>
      </c>
      <c r="F24" s="15">
        <f>B24+C24-D24+E24</f>
        <v/>
      </c>
      <c r="G24" s="24">
        <f>C24/'Fund Summary'!$B$6/12</f>
        <v/>
      </c>
      <c r="H24" s="17">
        <f>IF(F24&gt;='Fund Summary'!$B$12,"FUNDED","BUILDING")</f>
        <v/>
      </c>
    </row>
    <row r="25">
      <c r="A25" s="12" t="n">
        <v>2046</v>
      </c>
      <c r="B25" s="15">
        <f>F24</f>
        <v/>
      </c>
      <c r="C25" s="15">
        <f>IF(F24&gt;='Fund Summary'!$B$12,0,'Fund Summary'!$C$12*(1+'Fund Summary'!$B$7)^20)</f>
        <v/>
      </c>
      <c r="D25" s="15" t="n">
        <v>0</v>
      </c>
      <c r="E25" s="15">
        <f>B25*'Fund Summary'!$B$8</f>
        <v/>
      </c>
      <c r="F25" s="15">
        <f>B25+C25-D25+E25</f>
        <v/>
      </c>
      <c r="G25" s="24">
        <f>C25/'Fund Summary'!$B$6/12</f>
        <v/>
      </c>
      <c r="H25" s="17">
        <f>IF(F25&gt;='Fund Summary'!$B$12,"FUNDED","BUILDING")</f>
        <v/>
      </c>
    </row>
    <row r="26">
      <c r="A26" s="12" t="n">
        <v>2047</v>
      </c>
      <c r="B26" s="15">
        <f>F25</f>
        <v/>
      </c>
      <c r="C26" s="15">
        <f>IF(F25&gt;='Fund Summary'!$B$12,0,'Fund Summary'!$C$12*(1+'Fund Summary'!$B$7)^21)</f>
        <v/>
      </c>
      <c r="D26" s="15" t="n">
        <v>0</v>
      </c>
      <c r="E26" s="15">
        <f>B26*'Fund Summary'!$B$8</f>
        <v/>
      </c>
      <c r="F26" s="15">
        <f>B26+C26-D26+E26</f>
        <v/>
      </c>
      <c r="G26" s="24">
        <f>C26/'Fund Summary'!$B$6/12</f>
        <v/>
      </c>
      <c r="H26" s="17">
        <f>IF(F26&gt;='Fund Summary'!$B$12,"FUNDED","BUILDING")</f>
        <v/>
      </c>
    </row>
    <row r="27">
      <c r="A27" s="12" t="n">
        <v>2048</v>
      </c>
      <c r="B27" s="15">
        <f>F26</f>
        <v/>
      </c>
      <c r="C27" s="15">
        <f>IF(F26&gt;='Fund Summary'!$B$12,0,'Fund Summary'!$C$12*(1+'Fund Summary'!$B$7)^22)</f>
        <v/>
      </c>
      <c r="D27" s="15" t="n">
        <v>0</v>
      </c>
      <c r="E27" s="15">
        <f>B27*'Fund Summary'!$B$8</f>
        <v/>
      </c>
      <c r="F27" s="15">
        <f>B27+C27-D27+E27</f>
        <v/>
      </c>
      <c r="G27" s="24">
        <f>C27/'Fund Summary'!$B$6/12</f>
        <v/>
      </c>
      <c r="H27" s="17">
        <f>IF(F27&gt;='Fund Summary'!$B$12,"FUNDED","BUILDING")</f>
        <v/>
      </c>
    </row>
    <row r="28">
      <c r="A28" s="12" t="n">
        <v>2049</v>
      </c>
      <c r="B28" s="15">
        <f>F27</f>
        <v/>
      </c>
      <c r="C28" s="15">
        <f>IF(F27&gt;='Fund Summary'!$B$12,0,'Fund Summary'!$C$12*(1+'Fund Summary'!$B$7)^23)</f>
        <v/>
      </c>
      <c r="D28" s="15" t="n">
        <v>0</v>
      </c>
      <c r="E28" s="15">
        <f>B28*'Fund Summary'!$B$8</f>
        <v/>
      </c>
      <c r="F28" s="15">
        <f>B28+C28-D28+E28</f>
        <v/>
      </c>
      <c r="G28" s="24">
        <f>C28/'Fund Summary'!$B$6/12</f>
        <v/>
      </c>
      <c r="H28" s="17">
        <f>IF(F28&gt;='Fund Summary'!$B$12,"FUNDED","BUILDING")</f>
        <v/>
      </c>
    </row>
    <row r="29">
      <c r="A29" s="12" t="n">
        <v>2050</v>
      </c>
      <c r="B29" s="15">
        <f>F28</f>
        <v/>
      </c>
      <c r="C29" s="15">
        <f>IF(F28&gt;='Fund Summary'!$B$12,0,'Fund Summary'!$C$12*(1+'Fund Summary'!$B$7)^24)</f>
        <v/>
      </c>
      <c r="D29" s="15" t="n">
        <v>0</v>
      </c>
      <c r="E29" s="15">
        <f>B29*'Fund Summary'!$B$8</f>
        <v/>
      </c>
      <c r="F29" s="15">
        <f>B29+C29-D29+E29</f>
        <v/>
      </c>
      <c r="G29" s="24">
        <f>C29/'Fund Summary'!$B$6/12</f>
        <v/>
      </c>
      <c r="H29" s="17">
        <f>IF(F29&gt;='Fund Summary'!$B$12,"FUNDED","BUILDING")</f>
        <v/>
      </c>
    </row>
    <row r="30">
      <c r="A30" s="14" t="inlineStr">
        <is>
          <t>TOTAL</t>
        </is>
      </c>
      <c r="C30" s="8">
        <f>SUM(C5:C29)</f>
        <v/>
      </c>
      <c r="D30" s="8">
        <f>SUM(D5:D29)</f>
        <v/>
      </c>
      <c r="E30" s="8">
        <f>SUM(E5:E29)</f>
        <v/>
      </c>
    </row>
  </sheetData>
  <conditionalFormatting sqref="F5:F29">
    <cfRule type="expression" priority="1" dxfId="2">
      <formula>F5&gt;=$J$2</formula>
    </cfRule>
    <cfRule type="expression" priority="2" dxfId="1">
      <formula>F5&lt;$J$2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H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18" customWidth="1" min="4" max="4"/>
    <col width="16" customWidth="1" min="5" max="5"/>
    <col width="18" customWidth="1" min="6" max="6"/>
    <col width="18" customWidth="1" min="7" max="7"/>
    <col width="16" customWidth="1" min="8" max="8"/>
  </cols>
  <sheetData>
    <row r="1">
      <c r="A1" s="1" t="inlineStr">
        <is>
          <t>Scarborough Glen HOA — Long-Term Maintenance</t>
        </is>
      </c>
    </row>
    <row r="2">
      <c r="A2" s="6" t="inlineStr">
        <is>
          <t>All inputs are set on the Fund Summary sheet. This tab is calculated.</t>
        </is>
      </c>
    </row>
    <row r="4">
      <c r="A4" s="11" t="inlineStr">
        <is>
          <t>Year</t>
        </is>
      </c>
      <c r="B4" s="11" t="inlineStr">
        <is>
          <t>Opening Balance</t>
        </is>
      </c>
      <c r="C4" s="11" t="inlineStr">
        <is>
          <t>Annual Contribution</t>
        </is>
      </c>
      <c r="D4" s="11" t="inlineStr">
        <is>
          <t>Disbursement</t>
        </is>
      </c>
      <c r="E4" s="11" t="inlineStr">
        <is>
          <t>Interest Earned</t>
        </is>
      </c>
      <c r="F4" s="11" t="inlineStr">
        <is>
          <t>Closing Balance</t>
        </is>
      </c>
      <c r="G4" s="11" t="inlineStr">
        <is>
          <t>Monthly Cost/Unit</t>
        </is>
      </c>
      <c r="H4" s="11" t="inlineStr">
        <is>
          <t>Status</t>
        </is>
      </c>
    </row>
    <row r="5">
      <c r="A5" s="12" t="n">
        <v>2026</v>
      </c>
      <c r="B5" s="15">
        <f>'Fund Summary'!$D$13</f>
        <v/>
      </c>
      <c r="C5" s="15">
        <f>'Fund Summary'!$C$13</f>
        <v/>
      </c>
      <c r="D5" s="15" t="n">
        <v>0</v>
      </c>
      <c r="E5" s="15">
        <f>B5*'Fund Summary'!$B$8</f>
        <v/>
      </c>
      <c r="F5" s="15">
        <f>B5+C5-D5+E5</f>
        <v/>
      </c>
      <c r="G5" s="24">
        <f>C5/'Fund Summary'!$B$6/12</f>
        <v/>
      </c>
      <c r="H5" s="17">
        <f>IF(F5&lt;0,"BELOW $0","")</f>
        <v/>
      </c>
    </row>
    <row r="6">
      <c r="A6" s="12" t="n">
        <v>2027</v>
      </c>
      <c r="B6" s="15">
        <f>F5</f>
        <v/>
      </c>
      <c r="C6" s="15">
        <f>C5*(1+'Fund Summary'!$B$7)</f>
        <v/>
      </c>
      <c r="D6" s="15" t="n">
        <v>27161</v>
      </c>
      <c r="E6" s="15">
        <f>B6*'Fund Summary'!$B$8</f>
        <v/>
      </c>
      <c r="F6" s="15">
        <f>B6+C6-D6+E6</f>
        <v/>
      </c>
      <c r="G6" s="24">
        <f>C6/'Fund Summary'!$B$6/12</f>
        <v/>
      </c>
      <c r="H6" s="17">
        <f>IF(F6&lt;0,"BELOW $0","")</f>
        <v/>
      </c>
    </row>
    <row r="7">
      <c r="A7" s="12" t="n">
        <v>2028</v>
      </c>
      <c r="B7" s="15">
        <f>F6</f>
        <v/>
      </c>
      <c r="C7" s="15">
        <f>C6*(1+'Fund Summary'!$B$7)</f>
        <v/>
      </c>
      <c r="D7" s="15" t="n">
        <v>44555</v>
      </c>
      <c r="E7" s="15">
        <f>B7*'Fund Summary'!$B$8</f>
        <v/>
      </c>
      <c r="F7" s="15">
        <f>B7+C7-D7+E7</f>
        <v/>
      </c>
      <c r="G7" s="24">
        <f>C7/'Fund Summary'!$B$6/12</f>
        <v/>
      </c>
      <c r="H7" s="17">
        <f>IF(F7&lt;0,"BELOW $0","")</f>
        <v/>
      </c>
    </row>
    <row r="8">
      <c r="A8" s="12" t="n">
        <v>2029</v>
      </c>
      <c r="B8" s="15">
        <f>F7</f>
        <v/>
      </c>
      <c r="C8" s="15">
        <f>C7*(1+'Fund Summary'!$B$7)</f>
        <v/>
      </c>
      <c r="D8" s="15" t="n">
        <v>0</v>
      </c>
      <c r="E8" s="15">
        <f>B8*'Fund Summary'!$B$8</f>
        <v/>
      </c>
      <c r="F8" s="15">
        <f>B8+C8-D8+E8</f>
        <v/>
      </c>
      <c r="G8" s="24">
        <f>C8/'Fund Summary'!$B$6/12</f>
        <v/>
      </c>
      <c r="H8" s="17">
        <f>IF(F8&lt;0,"BELOW $0","")</f>
        <v/>
      </c>
    </row>
    <row r="9">
      <c r="A9" s="12" t="n">
        <v>2030</v>
      </c>
      <c r="B9" s="15">
        <f>F8</f>
        <v/>
      </c>
      <c r="C9" s="15">
        <f>C8*(1+'Fund Summary'!$B$7)</f>
        <v/>
      </c>
      <c r="D9" s="15" t="n">
        <v>13506</v>
      </c>
      <c r="E9" s="15">
        <f>B9*'Fund Summary'!$B$8</f>
        <v/>
      </c>
      <c r="F9" s="15">
        <f>B9+C9-D9+E9</f>
        <v/>
      </c>
      <c r="G9" s="24">
        <f>C9/'Fund Summary'!$B$6/12</f>
        <v/>
      </c>
      <c r="H9" s="17">
        <f>IF(F9&lt;0,"BELOW $0","")</f>
        <v/>
      </c>
    </row>
    <row r="10">
      <c r="A10" s="12" t="n">
        <v>2031</v>
      </c>
      <c r="B10" s="15">
        <f>F9</f>
        <v/>
      </c>
      <c r="C10" s="15">
        <f>C9*(1+'Fund Summary'!$B$7)</f>
        <v/>
      </c>
      <c r="D10" s="15" t="n">
        <v>15824</v>
      </c>
      <c r="E10" s="15">
        <f>B10*'Fund Summary'!$B$8</f>
        <v/>
      </c>
      <c r="F10" s="15">
        <f>B10+C10-D10+E10</f>
        <v/>
      </c>
      <c r="G10" s="24">
        <f>C10/'Fund Summary'!$B$6/12</f>
        <v/>
      </c>
      <c r="H10" s="17">
        <f>IF(F10&lt;0,"BELOW $0","")</f>
        <v/>
      </c>
    </row>
    <row r="11">
      <c r="A11" s="12" t="n">
        <v>2032</v>
      </c>
      <c r="B11" s="15">
        <f>F10</f>
        <v/>
      </c>
      <c r="C11" s="15">
        <f>C10*(1+'Fund Summary'!$B$7)</f>
        <v/>
      </c>
      <c r="D11" s="15" t="n">
        <v>24620</v>
      </c>
      <c r="E11" s="15">
        <f>B11*'Fund Summary'!$B$8</f>
        <v/>
      </c>
      <c r="F11" s="15">
        <f>B11+C11-D11+E11</f>
        <v/>
      </c>
      <c r="G11" s="24">
        <f>C11/'Fund Summary'!$B$6/12</f>
        <v/>
      </c>
      <c r="H11" s="17">
        <f>IF(F11&lt;0,"BELOW $0","")</f>
        <v/>
      </c>
    </row>
    <row r="12">
      <c r="A12" s="12" t="n">
        <v>2033</v>
      </c>
      <c r="B12" s="15">
        <f>F11</f>
        <v/>
      </c>
      <c r="C12" s="15">
        <f>C11*(1+'Fund Summary'!$B$7)</f>
        <v/>
      </c>
      <c r="D12" s="15" t="n">
        <v>226791</v>
      </c>
      <c r="E12" s="15">
        <f>B12*'Fund Summary'!$B$8</f>
        <v/>
      </c>
      <c r="F12" s="15">
        <f>B12+C12-D12+E12</f>
        <v/>
      </c>
      <c r="G12" s="24">
        <f>C12/'Fund Summary'!$B$6/12</f>
        <v/>
      </c>
      <c r="H12" s="17">
        <f>IF(F12&lt;0,"BELOW $0","")</f>
        <v/>
      </c>
    </row>
    <row r="13">
      <c r="A13" s="12" t="n">
        <v>2034</v>
      </c>
      <c r="B13" s="15">
        <f>F12</f>
        <v/>
      </c>
      <c r="C13" s="15">
        <f>C12*(1+'Fund Summary'!$B$7)</f>
        <v/>
      </c>
      <c r="D13" s="15" t="n">
        <v>47314</v>
      </c>
      <c r="E13" s="15">
        <f>B13*'Fund Summary'!$B$8</f>
        <v/>
      </c>
      <c r="F13" s="15">
        <f>B13+C13-D13+E13</f>
        <v/>
      </c>
      <c r="G13" s="24">
        <f>C13/'Fund Summary'!$B$6/12</f>
        <v/>
      </c>
      <c r="H13" s="17">
        <f>IF(F13&lt;0,"BELOW $0","")</f>
        <v/>
      </c>
    </row>
    <row r="14">
      <c r="A14" s="12" t="n">
        <v>2035</v>
      </c>
      <c r="B14" s="15">
        <f>F13</f>
        <v/>
      </c>
      <c r="C14" s="15">
        <f>C13*(1+'Fund Summary'!$B$7)</f>
        <v/>
      </c>
      <c r="D14" s="15" t="n">
        <v>28933</v>
      </c>
      <c r="E14" s="15">
        <f>B14*'Fund Summary'!$B$8</f>
        <v/>
      </c>
      <c r="F14" s="15">
        <f>B14+C14-D14+E14</f>
        <v/>
      </c>
      <c r="G14" s="24">
        <f>C14/'Fund Summary'!$B$6/12</f>
        <v/>
      </c>
      <c r="H14" s="17">
        <f>IF(F14&lt;0,"BELOW $0","")</f>
        <v/>
      </c>
    </row>
    <row r="15">
      <c r="A15" s="12" t="n">
        <v>2036</v>
      </c>
      <c r="B15" s="15">
        <f>F14</f>
        <v/>
      </c>
      <c r="C15" s="15">
        <f>C14*(1+'Fund Summary'!$B$7)</f>
        <v/>
      </c>
      <c r="D15" s="15" t="n">
        <v>1061663</v>
      </c>
      <c r="E15" s="15">
        <f>B15*'Fund Summary'!$B$8</f>
        <v/>
      </c>
      <c r="F15" s="15">
        <f>B15+C15-D15+E15</f>
        <v/>
      </c>
      <c r="G15" s="24">
        <f>C15/'Fund Summary'!$B$6/12</f>
        <v/>
      </c>
      <c r="H15" s="17">
        <f>IF(F15&lt;0,"BELOW $0","")</f>
        <v/>
      </c>
    </row>
    <row r="16">
      <c r="A16" s="12" t="n">
        <v>2037</v>
      </c>
      <c r="B16" s="15">
        <f>F15</f>
        <v/>
      </c>
      <c r="C16" s="15">
        <f>C15*(1+'Fund Summary'!$B$7)</f>
        <v/>
      </c>
      <c r="D16" s="15" t="n">
        <v>36848</v>
      </c>
      <c r="E16" s="15">
        <f>B16*'Fund Summary'!$B$8</f>
        <v/>
      </c>
      <c r="F16" s="15">
        <f>B16+C16-D16+E16</f>
        <v/>
      </c>
      <c r="G16" s="24">
        <f>C16/'Fund Summary'!$B$6/12</f>
        <v/>
      </c>
      <c r="H16" s="17">
        <f>IF(F16&lt;0,"BELOW $0","")</f>
        <v/>
      </c>
    </row>
    <row r="17">
      <c r="A17" s="12" t="n">
        <v>2038</v>
      </c>
      <c r="B17" s="15">
        <f>F16</f>
        <v/>
      </c>
      <c r="C17" s="15">
        <f>C16*(1+'Fund Summary'!$B$7)</f>
        <v/>
      </c>
      <c r="D17" s="15" t="n">
        <v>44915</v>
      </c>
      <c r="E17" s="15">
        <f>B17*'Fund Summary'!$B$8</f>
        <v/>
      </c>
      <c r="F17" s="15">
        <f>B17+C17-D17+E17</f>
        <v/>
      </c>
      <c r="G17" s="24">
        <f>C17/'Fund Summary'!$B$6/12</f>
        <v/>
      </c>
      <c r="H17" s="17">
        <f>IF(F17&lt;0,"BELOW $0","")</f>
        <v/>
      </c>
    </row>
    <row r="18">
      <c r="A18" s="12" t="n">
        <v>2039</v>
      </c>
      <c r="B18" s="15">
        <f>F17</f>
        <v/>
      </c>
      <c r="C18" s="15">
        <f>C17*(1+'Fund Summary'!$B$7)</f>
        <v/>
      </c>
      <c r="D18" s="15" t="n">
        <v>5507</v>
      </c>
      <c r="E18" s="15">
        <f>B18*'Fund Summary'!$B$8</f>
        <v/>
      </c>
      <c r="F18" s="15">
        <f>B18+C18-D18+E18</f>
        <v/>
      </c>
      <c r="G18" s="24">
        <f>C18/'Fund Summary'!$B$6/12</f>
        <v/>
      </c>
      <c r="H18" s="17">
        <f>IF(F18&lt;0,"BELOW $0","")</f>
        <v/>
      </c>
    </row>
    <row r="19">
      <c r="A19" s="12" t="n">
        <v>2040</v>
      </c>
      <c r="B19" s="15">
        <f>F18</f>
        <v/>
      </c>
      <c r="C19" s="15">
        <f>C18*(1+'Fund Summary'!$B$7)</f>
        <v/>
      </c>
      <c r="D19" s="15" t="n">
        <v>18151</v>
      </c>
      <c r="E19" s="15">
        <f>B19*'Fund Summary'!$B$8</f>
        <v/>
      </c>
      <c r="F19" s="15">
        <f>B19+C19-D19+E19</f>
        <v/>
      </c>
      <c r="G19" s="24">
        <f>C19/'Fund Summary'!$B$6/12</f>
        <v/>
      </c>
      <c r="H19" s="17">
        <f>IF(F19&lt;0,"BELOW $0","")</f>
        <v/>
      </c>
    </row>
    <row r="20">
      <c r="A20" s="12" t="n">
        <v>2041</v>
      </c>
      <c r="B20" s="15">
        <f>F19</f>
        <v/>
      </c>
      <c r="C20" s="15">
        <f>C19*(1+'Fund Summary'!$B$7)</f>
        <v/>
      </c>
      <c r="D20" s="15" t="n">
        <v>190852</v>
      </c>
      <c r="E20" s="15">
        <f>B20*'Fund Summary'!$B$8</f>
        <v/>
      </c>
      <c r="F20" s="15">
        <f>B20+C20-D20+E20</f>
        <v/>
      </c>
      <c r="G20" s="24">
        <f>C20/'Fund Summary'!$B$6/12</f>
        <v/>
      </c>
      <c r="H20" s="17">
        <f>IF(F20&lt;0,"BELOW $0","")</f>
        <v/>
      </c>
    </row>
    <row r="21">
      <c r="A21" s="12" t="n">
        <v>2042</v>
      </c>
      <c r="B21" s="15">
        <f>F20</f>
        <v/>
      </c>
      <c r="C21" s="15">
        <f>C20*(1+'Fund Summary'!$B$7)</f>
        <v/>
      </c>
      <c r="D21" s="15" t="n">
        <v>0</v>
      </c>
      <c r="E21" s="15">
        <f>B21*'Fund Summary'!$B$8</f>
        <v/>
      </c>
      <c r="F21" s="15">
        <f>B21+C21-D21+E21</f>
        <v/>
      </c>
      <c r="G21" s="24">
        <f>C21/'Fund Summary'!$B$6/12</f>
        <v/>
      </c>
      <c r="H21" s="17">
        <f>IF(F21&lt;0,"BELOW $0","")</f>
        <v/>
      </c>
    </row>
    <row r="22">
      <c r="A22" s="12" t="n">
        <v>2043</v>
      </c>
      <c r="B22" s="15">
        <f>F21</f>
        <v/>
      </c>
      <c r="C22" s="15">
        <f>C21*(1+'Fund Summary'!$B$7)</f>
        <v/>
      </c>
      <c r="D22" s="15" t="n">
        <v>132638</v>
      </c>
      <c r="E22" s="15">
        <f>B22*'Fund Summary'!$B$8</f>
        <v/>
      </c>
      <c r="F22" s="15">
        <f>B22+C22-D22+E22</f>
        <v/>
      </c>
      <c r="G22" s="24">
        <f>C22/'Fund Summary'!$B$6/12</f>
        <v/>
      </c>
      <c r="H22" s="17">
        <f>IF(F22&lt;0,"BELOW $0","")</f>
        <v/>
      </c>
    </row>
    <row r="23">
      <c r="A23" s="12" t="n">
        <v>2044</v>
      </c>
      <c r="B23" s="15">
        <f>F22</f>
        <v/>
      </c>
      <c r="C23" s="15">
        <f>C22*(1+'Fund Summary'!$B$7)</f>
        <v/>
      </c>
      <c r="D23" s="15" t="n">
        <v>6810</v>
      </c>
      <c r="E23" s="15">
        <f>B23*'Fund Summary'!$B$8</f>
        <v/>
      </c>
      <c r="F23" s="15">
        <f>B23+C23-D23+E23</f>
        <v/>
      </c>
      <c r="G23" s="24">
        <f>C23/'Fund Summary'!$B$6/12</f>
        <v/>
      </c>
      <c r="H23" s="17">
        <f>IF(F23&lt;0,"BELOW $0","")</f>
        <v/>
      </c>
    </row>
    <row r="24">
      <c r="A24" s="12" t="n">
        <v>2045</v>
      </c>
      <c r="B24" s="15">
        <f>F23</f>
        <v/>
      </c>
      <c r="C24" s="15">
        <f>C23*(1+'Fund Summary'!$B$7)</f>
        <v/>
      </c>
      <c r="D24" s="15" t="n">
        <v>0</v>
      </c>
      <c r="E24" s="15">
        <f>B24*'Fund Summary'!$B$8</f>
        <v/>
      </c>
      <c r="F24" s="15">
        <f>B24+C24-D24+E24</f>
        <v/>
      </c>
      <c r="G24" s="24">
        <f>C24/'Fund Summary'!$B$6/12</f>
        <v/>
      </c>
      <c r="H24" s="17">
        <f>IF(F24&lt;0,"BELOW $0","")</f>
        <v/>
      </c>
    </row>
    <row r="25">
      <c r="A25" s="12" t="n">
        <v>2046</v>
      </c>
      <c r="B25" s="15">
        <f>F24</f>
        <v/>
      </c>
      <c r="C25" s="15">
        <f>C24*(1+'Fund Summary'!$B$7)</f>
        <v/>
      </c>
      <c r="D25" s="15" t="n">
        <v>73146</v>
      </c>
      <c r="E25" s="15">
        <f>B25*'Fund Summary'!$B$8</f>
        <v/>
      </c>
      <c r="F25" s="15">
        <f>B25+C25-D25+E25</f>
        <v/>
      </c>
      <c r="G25" s="24">
        <f>C25/'Fund Summary'!$B$6/12</f>
        <v/>
      </c>
      <c r="H25" s="17">
        <f>IF(F25&lt;0,"BELOW $0","")</f>
        <v/>
      </c>
    </row>
    <row r="26">
      <c r="A26" s="12" t="n">
        <v>2047</v>
      </c>
      <c r="B26" s="15">
        <f>F25</f>
        <v/>
      </c>
      <c r="C26" s="15">
        <f>C25*(1+'Fund Summary'!$B$7)</f>
        <v/>
      </c>
      <c r="D26" s="15" t="n">
        <v>49056</v>
      </c>
      <c r="E26" s="15">
        <f>B26*'Fund Summary'!$B$8</f>
        <v/>
      </c>
      <c r="F26" s="15">
        <f>B26+C26-D26+E26</f>
        <v/>
      </c>
      <c r="G26" s="24">
        <f>C26/'Fund Summary'!$B$6/12</f>
        <v/>
      </c>
      <c r="H26" s="17">
        <f>IF(F26&lt;0,"BELOW $0","")</f>
        <v/>
      </c>
    </row>
    <row r="27">
      <c r="A27" s="12" t="n">
        <v>2048</v>
      </c>
      <c r="B27" s="15">
        <f>F26</f>
        <v/>
      </c>
      <c r="C27" s="15">
        <f>C26*(1+'Fund Summary'!$B$7)</f>
        <v/>
      </c>
      <c r="D27" s="15" t="n">
        <v>117838</v>
      </c>
      <c r="E27" s="15">
        <f>B27*'Fund Summary'!$B$8</f>
        <v/>
      </c>
      <c r="F27" s="15">
        <f>B27+C27-D27+E27</f>
        <v/>
      </c>
      <c r="G27" s="24">
        <f>C27/'Fund Summary'!$B$6/12</f>
        <v/>
      </c>
      <c r="H27" s="17">
        <f>IF(F27&lt;0,"BELOW $0","")</f>
        <v/>
      </c>
    </row>
    <row r="28">
      <c r="A28" s="12" t="n">
        <v>2049</v>
      </c>
      <c r="B28" s="15">
        <f>F27</f>
        <v/>
      </c>
      <c r="C28" s="15">
        <f>C27*(1+'Fund Summary'!$B$7)</f>
        <v/>
      </c>
      <c r="D28" s="15" t="n">
        <v>40261</v>
      </c>
      <c r="E28" s="15">
        <f>B28*'Fund Summary'!$B$8</f>
        <v/>
      </c>
      <c r="F28" s="15">
        <f>B28+C28-D28+E28</f>
        <v/>
      </c>
      <c r="G28" s="24">
        <f>C28/'Fund Summary'!$B$6/12</f>
        <v/>
      </c>
      <c r="H28" s="17">
        <f>IF(F28&lt;0,"BELOW $0","")</f>
        <v/>
      </c>
    </row>
    <row r="29">
      <c r="A29" s="12" t="n">
        <v>2050</v>
      </c>
      <c r="B29" s="15">
        <f>F28</f>
        <v/>
      </c>
      <c r="C29" s="15">
        <f>C28*(1+'Fund Summary'!$B$7)</f>
        <v/>
      </c>
      <c r="D29" s="15" t="n">
        <v>24394</v>
      </c>
      <c r="E29" s="15">
        <f>B29*'Fund Summary'!$B$8</f>
        <v/>
      </c>
      <c r="F29" s="15">
        <f>B29+C29-D29+E29</f>
        <v/>
      </c>
      <c r="G29" s="24">
        <f>C29/'Fund Summary'!$B$6/12</f>
        <v/>
      </c>
      <c r="H29" s="17">
        <f>IF(F29&lt;0,"BELOW $0","")</f>
        <v/>
      </c>
    </row>
    <row r="30">
      <c r="A30" s="14" t="inlineStr">
        <is>
          <t>TOTAL</t>
        </is>
      </c>
      <c r="C30" s="8">
        <f>SUM(C5:C29)</f>
        <v/>
      </c>
      <c r="D30" s="8">
        <f>SUM(D5:D29)</f>
        <v/>
      </c>
      <c r="E30" s="8">
        <f>SUM(E5:E29)</f>
        <v/>
      </c>
    </row>
  </sheetData>
  <conditionalFormatting sqref="F5:F29">
    <cfRule type="expression" priority="1" dxfId="0">
      <formula>F5&lt;0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J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18" customWidth="1" min="4" max="4"/>
    <col width="16" customWidth="1" min="5" max="5"/>
    <col width="18" customWidth="1" min="6" max="6"/>
    <col width="18" customWidth="1" min="7" max="7"/>
    <col width="16" customWidth="1" min="8" max="8"/>
    <col width="26" customWidth="1" min="10" max="10"/>
  </cols>
  <sheetData>
    <row r="1">
      <c r="A1" s="1" t="inlineStr">
        <is>
          <t>Scarborough Glen HOA — Operating Reserve</t>
        </is>
      </c>
      <c r="J1" s="6" t="inlineStr">
        <is>
          <t>Floor (from Fund Summary):</t>
        </is>
      </c>
    </row>
    <row r="2">
      <c r="A2" s="6" t="inlineStr">
        <is>
          <t>All inputs are set on the Fund Summary sheet. This tab is calculated.</t>
        </is>
      </c>
      <c r="J2" s="23">
        <f>'Fund Summary'!$B$14</f>
        <v/>
      </c>
    </row>
    <row r="4">
      <c r="A4" s="11" t="inlineStr">
        <is>
          <t>Year</t>
        </is>
      </c>
      <c r="B4" s="11" t="inlineStr">
        <is>
          <t>Opening Balance</t>
        </is>
      </c>
      <c r="C4" s="11" t="inlineStr">
        <is>
          <t>Annual Contribution</t>
        </is>
      </c>
      <c r="D4" s="11" t="inlineStr">
        <is>
          <t>Disbursement</t>
        </is>
      </c>
      <c r="E4" s="11" t="inlineStr">
        <is>
          <t>Interest Earned</t>
        </is>
      </c>
      <c r="F4" s="11" t="inlineStr">
        <is>
          <t>Closing Balance</t>
        </is>
      </c>
      <c r="G4" s="11" t="inlineStr">
        <is>
          <t>Monthly Cost/Unit</t>
        </is>
      </c>
      <c r="H4" s="11" t="inlineStr">
        <is>
          <t>Status</t>
        </is>
      </c>
    </row>
    <row r="5">
      <c r="A5" s="12" t="n">
        <v>2026</v>
      </c>
      <c r="B5" s="15">
        <f>'Fund Summary'!$D$14</f>
        <v/>
      </c>
      <c r="C5" s="15">
        <f>IF('Fund Summary'!$D$14&gt;='Fund Summary'!$B$14,0,'Fund Summary'!$C$14)</f>
        <v/>
      </c>
      <c r="D5" s="15" t="n">
        <v>0</v>
      </c>
      <c r="E5" s="15">
        <f>B5*'Fund Summary'!$B$8</f>
        <v/>
      </c>
      <c r="F5" s="15">
        <f>B5+C5-D5+E5</f>
        <v/>
      </c>
      <c r="G5" s="24">
        <f>C5/'Fund Summary'!$B$6/12</f>
        <v/>
      </c>
      <c r="H5" s="17">
        <f>IF(F5&lt;'Fund Summary'!$B$14,"BELOW FLOOR","")</f>
        <v/>
      </c>
    </row>
    <row r="6">
      <c r="A6" s="12" t="n">
        <v>2027</v>
      </c>
      <c r="B6" s="15">
        <f>F5</f>
        <v/>
      </c>
      <c r="C6" s="15">
        <f>IF(F5&gt;='Fund Summary'!$B$14,0,'Fund Summary'!$C$14*(1+'Fund Summary'!$B$7)^1)</f>
        <v/>
      </c>
      <c r="D6" s="15" t="n">
        <v>0</v>
      </c>
      <c r="E6" s="15">
        <f>B6*'Fund Summary'!$B$8</f>
        <v/>
      </c>
      <c r="F6" s="15">
        <f>B6+C6-D6+E6</f>
        <v/>
      </c>
      <c r="G6" s="24">
        <f>C6/'Fund Summary'!$B$6/12</f>
        <v/>
      </c>
      <c r="H6" s="17">
        <f>IF(F6&lt;'Fund Summary'!$B$14,"BELOW FLOOR","")</f>
        <v/>
      </c>
    </row>
    <row r="7">
      <c r="A7" s="12" t="n">
        <v>2028</v>
      </c>
      <c r="B7" s="15">
        <f>F6</f>
        <v/>
      </c>
      <c r="C7" s="15">
        <f>IF(F6&gt;='Fund Summary'!$B$14,0,'Fund Summary'!$C$14*(1+'Fund Summary'!$B$7)^2)</f>
        <v/>
      </c>
      <c r="D7" s="15" t="n">
        <v>0</v>
      </c>
      <c r="E7" s="15">
        <f>B7*'Fund Summary'!$B$8</f>
        <v/>
      </c>
      <c r="F7" s="15">
        <f>B7+C7-D7+E7</f>
        <v/>
      </c>
      <c r="G7" s="24">
        <f>C7/'Fund Summary'!$B$6/12</f>
        <v/>
      </c>
      <c r="H7" s="17">
        <f>IF(F7&lt;'Fund Summary'!$B$14,"BELOW FLOOR","")</f>
        <v/>
      </c>
    </row>
    <row r="8">
      <c r="A8" s="12" t="n">
        <v>2029</v>
      </c>
      <c r="B8" s="15">
        <f>F7</f>
        <v/>
      </c>
      <c r="C8" s="15">
        <f>IF(F7&gt;='Fund Summary'!$B$14,0,'Fund Summary'!$C$14*(1+'Fund Summary'!$B$7)^3)</f>
        <v/>
      </c>
      <c r="D8" s="15" t="n">
        <v>0</v>
      </c>
      <c r="E8" s="15">
        <f>B8*'Fund Summary'!$B$8</f>
        <v/>
      </c>
      <c r="F8" s="15">
        <f>B8+C8-D8+E8</f>
        <v/>
      </c>
      <c r="G8" s="24">
        <f>C8/'Fund Summary'!$B$6/12</f>
        <v/>
      </c>
      <c r="H8" s="17">
        <f>IF(F8&lt;'Fund Summary'!$B$14,"BELOW FLOOR","")</f>
        <v/>
      </c>
    </row>
    <row r="9">
      <c r="A9" s="12" t="n">
        <v>2030</v>
      </c>
      <c r="B9" s="15">
        <f>F8</f>
        <v/>
      </c>
      <c r="C9" s="15">
        <f>IF(F8&gt;='Fund Summary'!$B$14,0,'Fund Summary'!$C$14*(1+'Fund Summary'!$B$7)^4)</f>
        <v/>
      </c>
      <c r="D9" s="15" t="n">
        <v>0</v>
      </c>
      <c r="E9" s="15">
        <f>B9*'Fund Summary'!$B$8</f>
        <v/>
      </c>
      <c r="F9" s="15">
        <f>B9+C9-D9+E9</f>
        <v/>
      </c>
      <c r="G9" s="24">
        <f>C9/'Fund Summary'!$B$6/12</f>
        <v/>
      </c>
      <c r="H9" s="17">
        <f>IF(F9&lt;'Fund Summary'!$B$14,"BELOW FLOOR","")</f>
        <v/>
      </c>
    </row>
    <row r="10">
      <c r="A10" s="12" t="n">
        <v>2031</v>
      </c>
      <c r="B10" s="15">
        <f>F9</f>
        <v/>
      </c>
      <c r="C10" s="15">
        <f>IF(F9&gt;='Fund Summary'!$B$14,0,'Fund Summary'!$C$14*(1+'Fund Summary'!$B$7)^5)</f>
        <v/>
      </c>
      <c r="D10" s="15" t="n">
        <v>0</v>
      </c>
      <c r="E10" s="15">
        <f>B10*'Fund Summary'!$B$8</f>
        <v/>
      </c>
      <c r="F10" s="15">
        <f>B10+C10-D10+E10</f>
        <v/>
      </c>
      <c r="G10" s="24">
        <f>C10/'Fund Summary'!$B$6/12</f>
        <v/>
      </c>
      <c r="H10" s="17">
        <f>IF(F10&lt;'Fund Summary'!$B$14,"BELOW FLOOR","")</f>
        <v/>
      </c>
    </row>
    <row r="11">
      <c r="A11" s="12" t="n">
        <v>2032</v>
      </c>
      <c r="B11" s="15">
        <f>F10</f>
        <v/>
      </c>
      <c r="C11" s="15">
        <f>IF(F10&gt;='Fund Summary'!$B$14,0,'Fund Summary'!$C$14*(1+'Fund Summary'!$B$7)^6)</f>
        <v/>
      </c>
      <c r="D11" s="15" t="n">
        <v>0</v>
      </c>
      <c r="E11" s="15">
        <f>B11*'Fund Summary'!$B$8</f>
        <v/>
      </c>
      <c r="F11" s="15">
        <f>B11+C11-D11+E11</f>
        <v/>
      </c>
      <c r="G11" s="24">
        <f>C11/'Fund Summary'!$B$6/12</f>
        <v/>
      </c>
      <c r="H11" s="17">
        <f>IF(F11&lt;'Fund Summary'!$B$14,"BELOW FLOOR","")</f>
        <v/>
      </c>
    </row>
    <row r="12">
      <c r="A12" s="12" t="n">
        <v>2033</v>
      </c>
      <c r="B12" s="15">
        <f>F11</f>
        <v/>
      </c>
      <c r="C12" s="15">
        <f>IF(F11&gt;='Fund Summary'!$B$14,0,'Fund Summary'!$C$14*(1+'Fund Summary'!$B$7)^7)</f>
        <v/>
      </c>
      <c r="D12" s="15" t="n">
        <v>0</v>
      </c>
      <c r="E12" s="15">
        <f>B12*'Fund Summary'!$B$8</f>
        <v/>
      </c>
      <c r="F12" s="15">
        <f>B12+C12-D12+E12</f>
        <v/>
      </c>
      <c r="G12" s="24">
        <f>C12/'Fund Summary'!$B$6/12</f>
        <v/>
      </c>
      <c r="H12" s="17">
        <f>IF(F12&lt;'Fund Summary'!$B$14,"BELOW FLOOR","")</f>
        <v/>
      </c>
    </row>
    <row r="13">
      <c r="A13" s="12" t="n">
        <v>2034</v>
      </c>
      <c r="B13" s="15">
        <f>F12</f>
        <v/>
      </c>
      <c r="C13" s="15">
        <f>IF(F12&gt;='Fund Summary'!$B$14,0,'Fund Summary'!$C$14*(1+'Fund Summary'!$B$7)^8)</f>
        <v/>
      </c>
      <c r="D13" s="15" t="n">
        <v>0</v>
      </c>
      <c r="E13" s="15">
        <f>B13*'Fund Summary'!$B$8</f>
        <v/>
      </c>
      <c r="F13" s="15">
        <f>B13+C13-D13+E13</f>
        <v/>
      </c>
      <c r="G13" s="24">
        <f>C13/'Fund Summary'!$B$6/12</f>
        <v/>
      </c>
      <c r="H13" s="17">
        <f>IF(F13&lt;'Fund Summary'!$B$14,"BELOW FLOOR","")</f>
        <v/>
      </c>
    </row>
    <row r="14">
      <c r="A14" s="12" t="n">
        <v>2035</v>
      </c>
      <c r="B14" s="15">
        <f>F13</f>
        <v/>
      </c>
      <c r="C14" s="15">
        <f>IF(F13&gt;='Fund Summary'!$B$14,0,'Fund Summary'!$C$14*(1+'Fund Summary'!$B$7)^9)</f>
        <v/>
      </c>
      <c r="D14" s="15" t="n">
        <v>0</v>
      </c>
      <c r="E14" s="15">
        <f>B14*'Fund Summary'!$B$8</f>
        <v/>
      </c>
      <c r="F14" s="15">
        <f>B14+C14-D14+E14</f>
        <v/>
      </c>
      <c r="G14" s="24">
        <f>C14/'Fund Summary'!$B$6/12</f>
        <v/>
      </c>
      <c r="H14" s="17">
        <f>IF(F14&lt;'Fund Summary'!$B$14,"BELOW FLOOR","")</f>
        <v/>
      </c>
    </row>
    <row r="15">
      <c r="A15" s="12" t="n">
        <v>2036</v>
      </c>
      <c r="B15" s="15">
        <f>F14</f>
        <v/>
      </c>
      <c r="C15" s="15">
        <f>IF(F14&gt;='Fund Summary'!$B$14,0,'Fund Summary'!$C$14*(1+'Fund Summary'!$B$7)^10)</f>
        <v/>
      </c>
      <c r="D15" s="15" t="n">
        <v>0</v>
      </c>
      <c r="E15" s="15">
        <f>B15*'Fund Summary'!$B$8</f>
        <v/>
      </c>
      <c r="F15" s="15">
        <f>B15+C15-D15+E15</f>
        <v/>
      </c>
      <c r="G15" s="24">
        <f>C15/'Fund Summary'!$B$6/12</f>
        <v/>
      </c>
      <c r="H15" s="17">
        <f>IF(F15&lt;'Fund Summary'!$B$14,"BELOW FLOOR","")</f>
        <v/>
      </c>
    </row>
    <row r="16">
      <c r="A16" s="12" t="n">
        <v>2037</v>
      </c>
      <c r="B16" s="15">
        <f>F15</f>
        <v/>
      </c>
      <c r="C16" s="15">
        <f>IF(F15&gt;='Fund Summary'!$B$14,0,'Fund Summary'!$C$14*(1+'Fund Summary'!$B$7)^11)</f>
        <v/>
      </c>
      <c r="D16" s="15" t="n">
        <v>0</v>
      </c>
      <c r="E16" s="15">
        <f>B16*'Fund Summary'!$B$8</f>
        <v/>
      </c>
      <c r="F16" s="15">
        <f>B16+C16-D16+E16</f>
        <v/>
      </c>
      <c r="G16" s="24">
        <f>C16/'Fund Summary'!$B$6/12</f>
        <v/>
      </c>
      <c r="H16" s="17">
        <f>IF(F16&lt;'Fund Summary'!$B$14,"BELOW FLOOR","")</f>
        <v/>
      </c>
    </row>
    <row r="17">
      <c r="A17" s="12" t="n">
        <v>2038</v>
      </c>
      <c r="B17" s="15">
        <f>F16</f>
        <v/>
      </c>
      <c r="C17" s="15">
        <f>IF(F16&gt;='Fund Summary'!$B$14,0,'Fund Summary'!$C$14*(1+'Fund Summary'!$B$7)^12)</f>
        <v/>
      </c>
      <c r="D17" s="15" t="n">
        <v>0</v>
      </c>
      <c r="E17" s="15">
        <f>B17*'Fund Summary'!$B$8</f>
        <v/>
      </c>
      <c r="F17" s="15">
        <f>B17+C17-D17+E17</f>
        <v/>
      </c>
      <c r="G17" s="24">
        <f>C17/'Fund Summary'!$B$6/12</f>
        <v/>
      </c>
      <c r="H17" s="17">
        <f>IF(F17&lt;'Fund Summary'!$B$14,"BELOW FLOOR","")</f>
        <v/>
      </c>
    </row>
    <row r="18">
      <c r="A18" s="12" t="n">
        <v>2039</v>
      </c>
      <c r="B18" s="15">
        <f>F17</f>
        <v/>
      </c>
      <c r="C18" s="15">
        <f>IF(F17&gt;='Fund Summary'!$B$14,0,'Fund Summary'!$C$14*(1+'Fund Summary'!$B$7)^13)</f>
        <v/>
      </c>
      <c r="D18" s="15" t="n">
        <v>0</v>
      </c>
      <c r="E18" s="15">
        <f>B18*'Fund Summary'!$B$8</f>
        <v/>
      </c>
      <c r="F18" s="15">
        <f>B18+C18-D18+E18</f>
        <v/>
      </c>
      <c r="G18" s="24">
        <f>C18/'Fund Summary'!$B$6/12</f>
        <v/>
      </c>
      <c r="H18" s="17">
        <f>IF(F18&lt;'Fund Summary'!$B$14,"BELOW FLOOR","")</f>
        <v/>
      </c>
    </row>
    <row r="19">
      <c r="A19" s="12" t="n">
        <v>2040</v>
      </c>
      <c r="B19" s="15">
        <f>F18</f>
        <v/>
      </c>
      <c r="C19" s="15">
        <f>IF(F18&gt;='Fund Summary'!$B$14,0,'Fund Summary'!$C$14*(1+'Fund Summary'!$B$7)^14)</f>
        <v/>
      </c>
      <c r="D19" s="15" t="n">
        <v>0</v>
      </c>
      <c r="E19" s="15">
        <f>B19*'Fund Summary'!$B$8</f>
        <v/>
      </c>
      <c r="F19" s="15">
        <f>B19+C19-D19+E19</f>
        <v/>
      </c>
      <c r="G19" s="24">
        <f>C19/'Fund Summary'!$B$6/12</f>
        <v/>
      </c>
      <c r="H19" s="17">
        <f>IF(F19&lt;'Fund Summary'!$B$14,"BELOW FLOOR","")</f>
        <v/>
      </c>
    </row>
    <row r="20">
      <c r="A20" s="12" t="n">
        <v>2041</v>
      </c>
      <c r="B20" s="15">
        <f>F19</f>
        <v/>
      </c>
      <c r="C20" s="15">
        <f>IF(F19&gt;='Fund Summary'!$B$14,0,'Fund Summary'!$C$14*(1+'Fund Summary'!$B$7)^15)</f>
        <v/>
      </c>
      <c r="D20" s="15" t="n">
        <v>0</v>
      </c>
      <c r="E20" s="15">
        <f>B20*'Fund Summary'!$B$8</f>
        <v/>
      </c>
      <c r="F20" s="15">
        <f>B20+C20-D20+E20</f>
        <v/>
      </c>
      <c r="G20" s="24">
        <f>C20/'Fund Summary'!$B$6/12</f>
        <v/>
      </c>
      <c r="H20" s="17">
        <f>IF(F20&lt;'Fund Summary'!$B$14,"BELOW FLOOR","")</f>
        <v/>
      </c>
    </row>
    <row r="21">
      <c r="A21" s="12" t="n">
        <v>2042</v>
      </c>
      <c r="B21" s="15">
        <f>F20</f>
        <v/>
      </c>
      <c r="C21" s="15">
        <f>IF(F20&gt;='Fund Summary'!$B$14,0,'Fund Summary'!$C$14*(1+'Fund Summary'!$B$7)^16)</f>
        <v/>
      </c>
      <c r="D21" s="15" t="n">
        <v>0</v>
      </c>
      <c r="E21" s="15">
        <f>B21*'Fund Summary'!$B$8</f>
        <v/>
      </c>
      <c r="F21" s="15">
        <f>B21+C21-D21+E21</f>
        <v/>
      </c>
      <c r="G21" s="24">
        <f>C21/'Fund Summary'!$B$6/12</f>
        <v/>
      </c>
      <c r="H21" s="17">
        <f>IF(F21&lt;'Fund Summary'!$B$14,"BELOW FLOOR","")</f>
        <v/>
      </c>
    </row>
    <row r="22">
      <c r="A22" s="12" t="n">
        <v>2043</v>
      </c>
      <c r="B22" s="15">
        <f>F21</f>
        <v/>
      </c>
      <c r="C22" s="15">
        <f>IF(F21&gt;='Fund Summary'!$B$14,0,'Fund Summary'!$C$14*(1+'Fund Summary'!$B$7)^17)</f>
        <v/>
      </c>
      <c r="D22" s="15" t="n">
        <v>0</v>
      </c>
      <c r="E22" s="15">
        <f>B22*'Fund Summary'!$B$8</f>
        <v/>
      </c>
      <c r="F22" s="15">
        <f>B22+C22-D22+E22</f>
        <v/>
      </c>
      <c r="G22" s="24">
        <f>C22/'Fund Summary'!$B$6/12</f>
        <v/>
      </c>
      <c r="H22" s="17">
        <f>IF(F22&lt;'Fund Summary'!$B$14,"BELOW FLOOR","")</f>
        <v/>
      </c>
    </row>
    <row r="23">
      <c r="A23" s="12" t="n">
        <v>2044</v>
      </c>
      <c r="B23" s="15">
        <f>F22</f>
        <v/>
      </c>
      <c r="C23" s="15">
        <f>IF(F22&gt;='Fund Summary'!$B$14,0,'Fund Summary'!$C$14*(1+'Fund Summary'!$B$7)^18)</f>
        <v/>
      </c>
      <c r="D23" s="15" t="n">
        <v>0</v>
      </c>
      <c r="E23" s="15">
        <f>B23*'Fund Summary'!$B$8</f>
        <v/>
      </c>
      <c r="F23" s="15">
        <f>B23+C23-D23+E23</f>
        <v/>
      </c>
      <c r="G23" s="24">
        <f>C23/'Fund Summary'!$B$6/12</f>
        <v/>
      </c>
      <c r="H23" s="17">
        <f>IF(F23&lt;'Fund Summary'!$B$14,"BELOW FLOOR","")</f>
        <v/>
      </c>
    </row>
    <row r="24">
      <c r="A24" s="12" t="n">
        <v>2045</v>
      </c>
      <c r="B24" s="15">
        <f>F23</f>
        <v/>
      </c>
      <c r="C24" s="15">
        <f>IF(F23&gt;='Fund Summary'!$B$14,0,'Fund Summary'!$C$14*(1+'Fund Summary'!$B$7)^19)</f>
        <v/>
      </c>
      <c r="D24" s="15" t="n">
        <v>0</v>
      </c>
      <c r="E24" s="15">
        <f>B24*'Fund Summary'!$B$8</f>
        <v/>
      </c>
      <c r="F24" s="15">
        <f>B24+C24-D24+E24</f>
        <v/>
      </c>
      <c r="G24" s="24">
        <f>C24/'Fund Summary'!$B$6/12</f>
        <v/>
      </c>
      <c r="H24" s="17">
        <f>IF(F24&lt;'Fund Summary'!$B$14,"BELOW FLOOR","")</f>
        <v/>
      </c>
    </row>
    <row r="25">
      <c r="A25" s="12" t="n">
        <v>2046</v>
      </c>
      <c r="B25" s="15">
        <f>F24</f>
        <v/>
      </c>
      <c r="C25" s="15">
        <f>IF(F24&gt;='Fund Summary'!$B$14,0,'Fund Summary'!$C$14*(1+'Fund Summary'!$B$7)^20)</f>
        <v/>
      </c>
      <c r="D25" s="15" t="n">
        <v>0</v>
      </c>
      <c r="E25" s="15">
        <f>B25*'Fund Summary'!$B$8</f>
        <v/>
      </c>
      <c r="F25" s="15">
        <f>B25+C25-D25+E25</f>
        <v/>
      </c>
      <c r="G25" s="24">
        <f>C25/'Fund Summary'!$B$6/12</f>
        <v/>
      </c>
      <c r="H25" s="17">
        <f>IF(F25&lt;'Fund Summary'!$B$14,"BELOW FLOOR","")</f>
        <v/>
      </c>
    </row>
    <row r="26">
      <c r="A26" s="12" t="n">
        <v>2047</v>
      </c>
      <c r="B26" s="15">
        <f>F25</f>
        <v/>
      </c>
      <c r="C26" s="15">
        <f>IF(F25&gt;='Fund Summary'!$B$14,0,'Fund Summary'!$C$14*(1+'Fund Summary'!$B$7)^21)</f>
        <v/>
      </c>
      <c r="D26" s="15" t="n">
        <v>0</v>
      </c>
      <c r="E26" s="15">
        <f>B26*'Fund Summary'!$B$8</f>
        <v/>
      </c>
      <c r="F26" s="15">
        <f>B26+C26-D26+E26</f>
        <v/>
      </c>
      <c r="G26" s="24">
        <f>C26/'Fund Summary'!$B$6/12</f>
        <v/>
      </c>
      <c r="H26" s="17">
        <f>IF(F26&lt;'Fund Summary'!$B$14,"BELOW FLOOR","")</f>
        <v/>
      </c>
    </row>
    <row r="27">
      <c r="A27" s="12" t="n">
        <v>2048</v>
      </c>
      <c r="B27" s="15">
        <f>F26</f>
        <v/>
      </c>
      <c r="C27" s="15">
        <f>IF(F26&gt;='Fund Summary'!$B$14,0,'Fund Summary'!$C$14*(1+'Fund Summary'!$B$7)^22)</f>
        <v/>
      </c>
      <c r="D27" s="15" t="n">
        <v>0</v>
      </c>
      <c r="E27" s="15">
        <f>B27*'Fund Summary'!$B$8</f>
        <v/>
      </c>
      <c r="F27" s="15">
        <f>B27+C27-D27+E27</f>
        <v/>
      </c>
      <c r="G27" s="24">
        <f>C27/'Fund Summary'!$B$6/12</f>
        <v/>
      </c>
      <c r="H27" s="17">
        <f>IF(F27&lt;'Fund Summary'!$B$14,"BELOW FLOOR","")</f>
        <v/>
      </c>
    </row>
    <row r="28">
      <c r="A28" s="12" t="n">
        <v>2049</v>
      </c>
      <c r="B28" s="15">
        <f>F27</f>
        <v/>
      </c>
      <c r="C28" s="15">
        <f>IF(F27&gt;='Fund Summary'!$B$14,0,'Fund Summary'!$C$14*(1+'Fund Summary'!$B$7)^23)</f>
        <v/>
      </c>
      <c r="D28" s="15" t="n">
        <v>0</v>
      </c>
      <c r="E28" s="15">
        <f>B28*'Fund Summary'!$B$8</f>
        <v/>
      </c>
      <c r="F28" s="15">
        <f>B28+C28-D28+E28</f>
        <v/>
      </c>
      <c r="G28" s="24">
        <f>C28/'Fund Summary'!$B$6/12</f>
        <v/>
      </c>
      <c r="H28" s="17">
        <f>IF(F28&lt;'Fund Summary'!$B$14,"BELOW FLOOR","")</f>
        <v/>
      </c>
    </row>
    <row r="29">
      <c r="A29" s="12" t="n">
        <v>2050</v>
      </c>
      <c r="B29" s="15">
        <f>F28</f>
        <v/>
      </c>
      <c r="C29" s="15">
        <f>IF(F28&gt;='Fund Summary'!$B$14,0,'Fund Summary'!$C$14*(1+'Fund Summary'!$B$7)^24)</f>
        <v/>
      </c>
      <c r="D29" s="15" t="n">
        <v>0</v>
      </c>
      <c r="E29" s="15">
        <f>B29*'Fund Summary'!$B$8</f>
        <v/>
      </c>
      <c r="F29" s="15">
        <f>B29+C29-D29+E29</f>
        <v/>
      </c>
      <c r="G29" s="24">
        <f>C29/'Fund Summary'!$B$6/12</f>
        <v/>
      </c>
      <c r="H29" s="17">
        <f>IF(F29&lt;'Fund Summary'!$B$14,"BELOW FLOOR","")</f>
        <v/>
      </c>
    </row>
    <row r="30">
      <c r="A30" s="14" t="inlineStr">
        <is>
          <t>TOTAL</t>
        </is>
      </c>
      <c r="C30" s="8">
        <f>SUM(C5:C29)</f>
        <v/>
      </c>
      <c r="D30" s="8">
        <f>SUM(D5:D29)</f>
        <v/>
      </c>
      <c r="E30" s="8">
        <f>SUM(E5:E29)</f>
        <v/>
      </c>
    </row>
  </sheetData>
  <conditionalFormatting sqref="F5:F29">
    <cfRule type="expression" priority="1" dxfId="0">
      <formula>F5&lt;$J$2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F8F00"/>
    <outlinePr summaryBelow="1" summaryRight="1"/>
    <pageSetUpPr/>
  </sheetPr>
  <dimension ref="A1:F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14" customWidth="1" min="3" max="3"/>
    <col width="22" customWidth="1" min="4" max="4"/>
    <col width="18" customWidth="1" min="5" max="5"/>
    <col width="26" customWidth="1" min="6" max="6"/>
  </cols>
  <sheetData>
    <row r="1">
      <c r="A1" s="1" t="inlineStr">
        <is>
          <t>Scarborough Glen HOA — Component Detail</t>
        </is>
      </c>
    </row>
    <row r="2">
      <c r="A2" s="6" t="inlineStr">
        <is>
          <t>All costs from Becht Engineering Capital Reserve Study (2026)</t>
        </is>
      </c>
    </row>
    <row r="4">
      <c r="A4" s="11" t="inlineStr">
        <is>
          <t>Component</t>
        </is>
      </c>
      <c r="B4" s="11" t="inlineStr">
        <is>
          <t>Becht Community Total</t>
        </is>
      </c>
      <c r="C4" s="11" t="inlineStr">
        <is>
          <t>Entity Share %</t>
        </is>
      </c>
      <c r="D4" s="11" t="inlineStr">
        <is>
          <t>Entity Allocated Cost</t>
        </is>
      </c>
      <c r="E4" s="11" t="inlineStr">
        <is>
          <t>Replacement Year</t>
        </is>
      </c>
      <c r="F4" s="11" t="inlineStr">
        <is>
          <t>Inflated Cost at Replacement</t>
        </is>
      </c>
    </row>
    <row r="5">
      <c r="A5" s="12" t="inlineStr">
        <is>
          <t>Aerator</t>
        </is>
      </c>
      <c r="B5" s="25" t="n">
        <v>5500</v>
      </c>
      <c r="C5" s="26" t="n">
        <v>1</v>
      </c>
      <c r="D5" s="25" t="n">
        <v>5500</v>
      </c>
      <c r="E5" s="12" t="n">
        <v>2036</v>
      </c>
      <c r="F5" s="25" t="n">
        <v>7392</v>
      </c>
    </row>
    <row r="6">
      <c r="A6" s="12" t="inlineStr">
        <is>
          <t>Asphalt Crack Filling</t>
        </is>
      </c>
      <c r="B6" s="25" t="n">
        <v>15000</v>
      </c>
      <c r="C6" s="26" t="n">
        <v>1</v>
      </c>
      <c r="D6" s="25" t="n">
        <v>15000</v>
      </c>
      <c r="E6" s="12" t="inlineStr">
        <is>
          <t>recurring</t>
        </is>
      </c>
      <c r="F6" s="12" t="inlineStr">
        <is>
          <t>Beyond plan horizon</t>
        </is>
      </c>
    </row>
    <row r="7">
      <c r="A7" s="12" t="inlineStr">
        <is>
          <t>Asphalt Paving (Roads)</t>
        </is>
      </c>
      <c r="B7" s="25" t="n">
        <v>330000</v>
      </c>
      <c r="C7" s="26" t="n">
        <v>1</v>
      </c>
      <c r="D7" s="25" t="n">
        <v>330000</v>
      </c>
      <c r="E7" s="12" t="n">
        <v>2036</v>
      </c>
      <c r="F7" s="25" t="n">
        <v>443487</v>
      </c>
    </row>
    <row r="8">
      <c r="A8" s="12" t="inlineStr">
        <is>
          <t>Bathroom Refurbishment (Clubhouse)</t>
        </is>
      </c>
      <c r="B8" s="25" t="n">
        <v>10000</v>
      </c>
      <c r="C8" s="26" t="n">
        <v>1</v>
      </c>
      <c r="D8" s="25" t="n">
        <v>10000</v>
      </c>
      <c r="E8" s="12" t="n">
        <v>2033</v>
      </c>
      <c r="F8" s="25" t="n">
        <v>12299</v>
      </c>
    </row>
    <row r="9">
      <c r="A9" s="12" t="inlineStr">
        <is>
          <t>Clubhouse Furniture</t>
        </is>
      </c>
      <c r="B9" s="25" t="n">
        <v>15000</v>
      </c>
      <c r="C9" s="26" t="n">
        <v>1</v>
      </c>
      <c r="D9" s="25" t="n">
        <v>15000</v>
      </c>
      <c r="E9" s="12" t="n">
        <v>2036</v>
      </c>
      <c r="F9" s="25" t="n">
        <v>20159</v>
      </c>
    </row>
    <row r="10">
      <c r="A10" s="12" t="inlineStr">
        <is>
          <t>Concrete Pool Apron</t>
        </is>
      </c>
      <c r="B10" s="25" t="n">
        <v>78250</v>
      </c>
      <c r="C10" s="26" t="n">
        <v>1</v>
      </c>
      <c r="D10" s="25" t="n">
        <v>78250</v>
      </c>
      <c r="E10" s="12" t="n">
        <v>2036</v>
      </c>
      <c r="F10" s="25" t="n">
        <v>105162</v>
      </c>
    </row>
    <row r="11">
      <c r="A11" s="12" t="inlineStr">
        <is>
          <t>Concrete Pool Coping</t>
        </is>
      </c>
      <c r="B11" s="25" t="n">
        <v>9900</v>
      </c>
      <c r="C11" s="26" t="n">
        <v>1</v>
      </c>
      <c r="D11" s="25" t="n">
        <v>9900</v>
      </c>
      <c r="E11" s="12" t="n">
        <v>2031</v>
      </c>
      <c r="F11" s="25" t="n">
        <v>11477</v>
      </c>
    </row>
    <row r="12">
      <c r="A12" s="12" t="inlineStr">
        <is>
          <t>Concrete Sidewalks (HOA share)</t>
        </is>
      </c>
      <c r="B12" s="25" t="n">
        <v>20103</v>
      </c>
      <c r="C12" s="26" t="n">
        <v>0.5710999999999999</v>
      </c>
      <c r="D12" s="25" t="n">
        <v>20103</v>
      </c>
      <c r="E12" s="12" t="n">
        <v>2033</v>
      </c>
      <c r="F12" s="25" t="n">
        <v>24723</v>
      </c>
    </row>
    <row r="13">
      <c r="A13" s="12" t="inlineStr">
        <is>
          <t>Asphalt Driveways (Condo II share)</t>
        </is>
      </c>
      <c r="B13" s="25" t="n">
        <v>308000</v>
      </c>
      <c r="C13" s="26" t="n">
        <v>0.1222</v>
      </c>
      <c r="D13" s="25" t="n">
        <v>37638</v>
      </c>
      <c r="E13" s="12" t="n">
        <v>2036</v>
      </c>
      <c r="F13" s="25" t="n">
        <v>50582</v>
      </c>
    </row>
    <row r="14">
      <c r="A14" s="12" t="inlineStr">
        <is>
          <t>Asphalt Driveways (Condo III share)</t>
        </is>
      </c>
      <c r="B14" s="25" t="n">
        <v>308000</v>
      </c>
      <c r="C14" s="26" t="n">
        <v>0.0513</v>
      </c>
      <c r="D14" s="25" t="n">
        <v>15800</v>
      </c>
      <c r="E14" s="12" t="n">
        <v>2036</v>
      </c>
      <c r="F14" s="25" t="n">
        <v>21234</v>
      </c>
    </row>
    <row r="15">
      <c r="A15" s="12" t="inlineStr">
        <is>
          <t>Asphalt Driveways (Condo IV share)</t>
        </is>
      </c>
      <c r="B15" s="25" t="n">
        <v>308000</v>
      </c>
      <c r="C15" s="26" t="n">
        <v>0.8266</v>
      </c>
      <c r="D15" s="25" t="n">
        <v>254562</v>
      </c>
      <c r="E15" s="12" t="n">
        <v>2036</v>
      </c>
      <c r="F15" s="25" t="n">
        <v>342150</v>
      </c>
    </row>
    <row r="16">
      <c r="A16" s="12" t="inlineStr">
        <is>
          <t>Concrete Sidewalks (Condo I share)</t>
        </is>
      </c>
      <c r="B16" s="25" t="n">
        <v>35200</v>
      </c>
      <c r="C16" s="26" t="n">
        <v>0.1813</v>
      </c>
      <c r="D16" s="25" t="n">
        <v>6382</v>
      </c>
      <c r="E16" s="12" t="n">
        <v>2033</v>
      </c>
      <c r="F16" s="25" t="n">
        <v>7849</v>
      </c>
    </row>
    <row r="17">
      <c r="A17" s="12" t="inlineStr">
        <is>
          <t>Concrete Sidewalks (Condo II share)</t>
        </is>
      </c>
      <c r="B17" s="25" t="n">
        <v>35200</v>
      </c>
      <c r="C17" s="26" t="n">
        <v>0.057</v>
      </c>
      <c r="D17" s="25" t="n">
        <v>2006</v>
      </c>
      <c r="E17" s="12" t="n">
        <v>2033</v>
      </c>
      <c r="F17" s="25" t="n">
        <v>2468</v>
      </c>
    </row>
    <row r="18">
      <c r="A18" s="12" t="inlineStr">
        <is>
          <t>Concrete Sidewalks (Condo III share)</t>
        </is>
      </c>
      <c r="B18" s="25" t="n">
        <v>35200</v>
      </c>
      <c r="C18" s="26" t="n">
        <v>0.0461</v>
      </c>
      <c r="D18" s="25" t="n">
        <v>1623</v>
      </c>
      <c r="E18" s="12" t="n">
        <v>2033</v>
      </c>
      <c r="F18" s="25" t="n">
        <v>1996</v>
      </c>
    </row>
    <row r="19">
      <c r="A19" s="12" t="inlineStr">
        <is>
          <t>Concrete Sidewalks (Condo IV share)</t>
        </is>
      </c>
      <c r="B19" s="25" t="n">
        <v>35200</v>
      </c>
      <c r="C19" s="26" t="n">
        <v>0.1445</v>
      </c>
      <c r="D19" s="25" t="n">
        <v>5086</v>
      </c>
      <c r="E19" s="12" t="n">
        <v>2033</v>
      </c>
      <c r="F19" s="25" t="n">
        <v>6256</v>
      </c>
    </row>
    <row r="20">
      <c r="A20" s="12" t="inlineStr">
        <is>
          <t>Curbing, Concrete</t>
        </is>
      </c>
      <c r="B20" s="25" t="n">
        <v>35000</v>
      </c>
      <c r="C20" s="26" t="n">
        <v>1</v>
      </c>
      <c r="D20" s="25" t="n">
        <v>35000</v>
      </c>
      <c r="E20" s="12" t="n">
        <v>2036</v>
      </c>
      <c r="F20" s="25" t="n">
        <v>47037</v>
      </c>
    </row>
    <row r="21">
      <c r="A21" s="12" t="inlineStr">
        <is>
          <t>Entrance Sign - Large</t>
        </is>
      </c>
      <c r="B21" s="25" t="n">
        <v>20000</v>
      </c>
      <c r="C21" s="26" t="n">
        <v>1</v>
      </c>
      <c r="D21" s="25" t="n">
        <v>20000</v>
      </c>
      <c r="E21" s="12" t="n">
        <v>2046</v>
      </c>
      <c r="F21" s="25" t="n">
        <v>36122</v>
      </c>
    </row>
    <row r="22">
      <c r="A22" s="12" t="inlineStr">
        <is>
          <t>Entrance Sign - Small</t>
        </is>
      </c>
      <c r="B22" s="25" t="n">
        <v>12000</v>
      </c>
      <c r="C22" s="26" t="n">
        <v>1</v>
      </c>
      <c r="D22" s="25" t="n">
        <v>12000</v>
      </c>
      <c r="E22" s="12" t="n">
        <v>2046</v>
      </c>
      <c r="F22" s="25" t="n">
        <v>21673</v>
      </c>
    </row>
    <row r="23">
      <c r="A23" s="12" t="inlineStr">
        <is>
          <t>Fence, Vinyl Stockade</t>
        </is>
      </c>
      <c r="B23" s="25" t="n">
        <v>42500</v>
      </c>
      <c r="C23" s="26" t="n">
        <v>1</v>
      </c>
      <c r="D23" s="25" t="n">
        <v>42500</v>
      </c>
      <c r="E23" s="12" t="n">
        <v>2043</v>
      </c>
      <c r="F23" s="25" t="n">
        <v>70246</v>
      </c>
    </row>
    <row r="24">
      <c r="A24" s="12" t="inlineStr">
        <is>
          <t>Fence, Wood Split Rail</t>
        </is>
      </c>
      <c r="B24" s="25" t="n">
        <v>122500</v>
      </c>
      <c r="C24" s="26" t="n">
        <v>1</v>
      </c>
      <c r="D24" s="25" t="n">
        <v>122500</v>
      </c>
      <c r="E24" s="12" t="n">
        <v>2041</v>
      </c>
      <c r="F24" s="25" t="n">
        <v>190852</v>
      </c>
    </row>
    <row r="25">
      <c r="A25" s="12" t="inlineStr">
        <is>
          <t>Fire Alarm Control Panel</t>
        </is>
      </c>
      <c r="B25" s="25" t="n">
        <v>8000</v>
      </c>
      <c r="C25" s="26" t="n">
        <v>1</v>
      </c>
      <c r="D25" s="25" t="n">
        <v>8000</v>
      </c>
      <c r="E25" s="12" t="n">
        <v>2033</v>
      </c>
      <c r="F25" s="25" t="n">
        <v>9839</v>
      </c>
    </row>
    <row r="26">
      <c r="A26" s="12" t="inlineStr">
        <is>
          <t>Fitness Room Refurbishment</t>
        </is>
      </c>
      <c r="B26" s="25" t="n">
        <v>5000</v>
      </c>
      <c r="C26" s="26" t="n">
        <v>1</v>
      </c>
      <c r="D26" s="25" t="n">
        <v>5000</v>
      </c>
      <c r="E26" s="12" t="n">
        <v>2033</v>
      </c>
      <c r="F26" s="25" t="n">
        <v>6149</v>
      </c>
    </row>
    <row r="27">
      <c r="A27" s="12" t="inlineStr">
        <is>
          <t>Gutters - Clubhouse</t>
        </is>
      </c>
      <c r="B27" s="25" t="n">
        <v>2500</v>
      </c>
      <c r="C27" s="26" t="n">
        <v>1</v>
      </c>
      <c r="D27" s="25" t="n">
        <v>2500</v>
      </c>
      <c r="E27" s="12" t="n">
        <v>2028</v>
      </c>
      <c r="F27" s="25" t="n">
        <v>2652</v>
      </c>
    </row>
    <row r="28">
      <c r="A28" s="12" t="inlineStr">
        <is>
          <t>Hot Water Heater</t>
        </is>
      </c>
      <c r="B28" s="25" t="n">
        <v>2500</v>
      </c>
      <c r="C28" s="26" t="n">
        <v>1</v>
      </c>
      <c r="D28" s="25" t="n">
        <v>2500</v>
      </c>
      <c r="E28" s="12" t="inlineStr">
        <is>
          <t>recurring</t>
        </is>
      </c>
      <c r="F28" s="12" t="inlineStr">
        <is>
          <t>Beyond plan horizon</t>
        </is>
      </c>
    </row>
    <row r="29">
      <c r="A29" s="12" t="inlineStr">
        <is>
          <t>Kitchen Refurbishment</t>
        </is>
      </c>
      <c r="B29" s="25" t="n">
        <v>3500</v>
      </c>
      <c r="C29" s="26" t="n">
        <v>1</v>
      </c>
      <c r="D29" s="25" t="n">
        <v>3500</v>
      </c>
      <c r="E29" s="12" t="n">
        <v>2033</v>
      </c>
      <c r="F29" s="25" t="n">
        <v>4305</v>
      </c>
    </row>
    <row r="30">
      <c r="A30" s="12" t="inlineStr">
        <is>
          <t>Leaders - Clubhouse</t>
        </is>
      </c>
      <c r="B30" s="25" t="n">
        <v>500</v>
      </c>
      <c r="C30" s="26" t="n">
        <v>1</v>
      </c>
      <c r="D30" s="25" t="n">
        <v>500</v>
      </c>
      <c r="E30" s="12" t="n">
        <v>2032</v>
      </c>
      <c r="F30" s="25" t="n">
        <v>597</v>
      </c>
    </row>
    <row r="31">
      <c r="A31" s="12" t="inlineStr">
        <is>
          <t>Lights, Entry Clubhouse</t>
        </is>
      </c>
      <c r="B31" s="25" t="n">
        <v>2700</v>
      </c>
      <c r="C31" s="26" t="n">
        <v>1</v>
      </c>
      <c r="D31" s="25" t="n">
        <v>2700</v>
      </c>
      <c r="E31" s="12" t="n">
        <v>2036</v>
      </c>
      <c r="F31" s="25" t="n">
        <v>3629</v>
      </c>
    </row>
    <row r="32">
      <c r="A32" s="12" t="inlineStr">
        <is>
          <t>Lights, Entrance Sign</t>
        </is>
      </c>
      <c r="B32" s="25" t="n">
        <v>1500</v>
      </c>
      <c r="C32" s="26" t="n">
        <v>1</v>
      </c>
      <c r="D32" s="25" t="n">
        <v>1500</v>
      </c>
      <c r="E32" s="12" t="n">
        <v>2036</v>
      </c>
      <c r="F32" s="25" t="n">
        <v>2016</v>
      </c>
    </row>
    <row r="33">
      <c r="A33" s="12" t="inlineStr">
        <is>
          <t>Lights, Recessed</t>
        </is>
      </c>
      <c r="B33" s="25" t="n">
        <v>5500</v>
      </c>
      <c r="C33" s="26" t="n">
        <v>1</v>
      </c>
      <c r="D33" s="25" t="n">
        <v>5500</v>
      </c>
      <c r="E33" s="12" t="n">
        <v>2033</v>
      </c>
      <c r="F33" s="25" t="n">
        <v>6764</v>
      </c>
    </row>
    <row r="34">
      <c r="A34" s="12" t="inlineStr">
        <is>
          <t>Lights, Street</t>
        </is>
      </c>
      <c r="B34" s="25" t="n">
        <v>83200</v>
      </c>
      <c r="C34" s="26" t="n">
        <v>1</v>
      </c>
      <c r="D34" s="25" t="n">
        <v>83200</v>
      </c>
      <c r="E34" s="12" t="n">
        <v>2033</v>
      </c>
      <c r="F34" s="25" t="n">
        <v>102325</v>
      </c>
    </row>
    <row r="35">
      <c r="A35" s="12" t="inlineStr">
        <is>
          <t>Mailboxes</t>
        </is>
      </c>
      <c r="B35" s="25" t="n">
        <v>20400</v>
      </c>
      <c r="C35" s="26" t="n">
        <v>1</v>
      </c>
      <c r="D35" s="25" t="n">
        <v>20400</v>
      </c>
      <c r="E35" s="12" t="n">
        <v>2049</v>
      </c>
      <c r="F35" s="25" t="n">
        <v>40261</v>
      </c>
    </row>
    <row r="36">
      <c r="A36" s="12" t="inlineStr">
        <is>
          <t>Pool Filter System</t>
        </is>
      </c>
      <c r="B36" s="25" t="n">
        <v>10000</v>
      </c>
      <c r="C36" s="26" t="n">
        <v>1</v>
      </c>
      <c r="D36" s="25" t="n">
        <v>10000</v>
      </c>
      <c r="E36" s="12" t="n">
        <v>2036</v>
      </c>
      <c r="F36" s="25" t="n">
        <v>13439</v>
      </c>
    </row>
    <row r="37">
      <c r="A37" s="12" t="inlineStr">
        <is>
          <t>Roof, Shingles - Clubhouse</t>
        </is>
      </c>
      <c r="B37" s="25" t="n">
        <v>15620</v>
      </c>
      <c r="C37" s="26" t="n">
        <v>1</v>
      </c>
      <c r="D37" s="25" t="n">
        <v>15620</v>
      </c>
      <c r="E37" s="12" t="n">
        <v>2032</v>
      </c>
      <c r="F37" s="25" t="n">
        <v>18650</v>
      </c>
    </row>
    <row r="38">
      <c r="A38" s="12" t="inlineStr">
        <is>
          <t>Seal Coating</t>
        </is>
      </c>
      <c r="B38" s="25" t="n">
        <v>16500</v>
      </c>
      <c r="C38" s="26" t="n">
        <v>1</v>
      </c>
      <c r="D38" s="25" t="n">
        <v>16500</v>
      </c>
      <c r="E38" s="12" t="inlineStr">
        <is>
          <t>recurring</t>
        </is>
      </c>
      <c r="F38" s="12" t="inlineStr">
        <is>
          <t>Beyond plan horizon</t>
        </is>
      </c>
    </row>
    <row r="39">
      <c r="A39" s="12" t="inlineStr">
        <is>
          <t>Siding, Vinyl - Clubhouse</t>
        </is>
      </c>
      <c r="B39" s="25" t="n">
        <v>30000</v>
      </c>
      <c r="C39" s="26" t="n">
        <v>1</v>
      </c>
      <c r="D39" s="25" t="n">
        <v>30000</v>
      </c>
      <c r="E39" s="12" t="n">
        <v>2048</v>
      </c>
      <c r="F39" s="25" t="n">
        <v>57482</v>
      </c>
    </row>
    <row r="40">
      <c r="A40" s="12" t="inlineStr">
        <is>
          <t>Skylights - Clubhouse</t>
        </is>
      </c>
      <c r="B40" s="25" t="n">
        <v>4500</v>
      </c>
      <c r="C40" s="26" t="n">
        <v>1</v>
      </c>
      <c r="D40" s="25" t="n">
        <v>4500</v>
      </c>
      <c r="E40" s="12" t="n">
        <v>2032</v>
      </c>
      <c r="F40" s="25" t="n">
        <v>5373</v>
      </c>
    </row>
    <row r="41">
      <c r="A41" s="12" t="inlineStr">
        <is>
          <t>Stop Signs</t>
        </is>
      </c>
      <c r="B41" s="25" t="n">
        <v>2500</v>
      </c>
      <c r="C41" s="26" t="n">
        <v>1</v>
      </c>
      <c r="D41" s="25" t="n">
        <v>2500</v>
      </c>
      <c r="E41" s="12" t="n">
        <v>2046</v>
      </c>
      <c r="F41" s="25" t="n">
        <v>4515</v>
      </c>
    </row>
    <row r="42">
      <c r="A42" s="12" t="inlineStr">
        <is>
          <t>Street Signs</t>
        </is>
      </c>
      <c r="B42" s="25" t="n">
        <v>2000</v>
      </c>
      <c r="C42" s="26" t="n">
        <v>1</v>
      </c>
      <c r="D42" s="25" t="n">
        <v>2000</v>
      </c>
      <c r="E42" s="12" t="n">
        <v>2046</v>
      </c>
      <c r="F42" s="25" t="n">
        <v>3612</v>
      </c>
    </row>
    <row r="43">
      <c r="A43" s="12" t="inlineStr">
        <is>
          <t>Windows, Dbl Hung Double - Clubhouse</t>
        </is>
      </c>
      <c r="B43" s="25" t="n">
        <v>4000</v>
      </c>
      <c r="C43" s="26" t="n">
        <v>1</v>
      </c>
      <c r="D43" s="25" t="n">
        <v>4000</v>
      </c>
      <c r="E43" s="12" t="inlineStr">
        <is>
          <t>2053 (beyond plan)</t>
        </is>
      </c>
      <c r="F43" s="12" t="inlineStr">
        <is>
          <t>Beyond plan horizon</t>
        </is>
      </c>
    </row>
    <row r="44">
      <c r="A44" s="12" t="inlineStr">
        <is>
          <t>Windows, Dbl Hung Single - Clubhouse</t>
        </is>
      </c>
      <c r="B44" s="25" t="n">
        <v>2000</v>
      </c>
      <c r="C44" s="26" t="n">
        <v>1</v>
      </c>
      <c r="D44" s="25" t="n">
        <v>2000</v>
      </c>
      <c r="E44" s="12" t="inlineStr">
        <is>
          <t>2053 (beyond plan)</t>
        </is>
      </c>
      <c r="F44" s="12" t="inlineStr">
        <is>
          <t>Beyond plan horizon</t>
        </is>
      </c>
    </row>
    <row r="45">
      <c r="A45" s="12" t="inlineStr">
        <is>
          <t>Windows, Transom</t>
        </is>
      </c>
      <c r="B45" s="25" t="n">
        <v>1500</v>
      </c>
      <c r="C45" s="26" t="n">
        <v>1</v>
      </c>
      <c r="D45" s="25" t="n">
        <v>1500</v>
      </c>
      <c r="E45" s="12" t="inlineStr">
        <is>
          <t>2053 (beyond plan)</t>
        </is>
      </c>
      <c r="F45" s="12" t="inlineStr">
        <is>
          <t>Beyond plan horizon</t>
        </is>
      </c>
    </row>
    <row r="46">
      <c r="A46" s="12" t="inlineStr">
        <is>
          <t>Pool Shell Resurfacing</t>
        </is>
      </c>
      <c r="B46" s="25" t="n"/>
      <c r="C46" s="26" t="n">
        <v>1</v>
      </c>
      <c r="D46" s="25" t="n">
        <v>22620</v>
      </c>
      <c r="E46" s="12" t="n">
        <v>2027</v>
      </c>
      <c r="F46" s="25" t="n">
        <v>23299</v>
      </c>
    </row>
    <row r="47">
      <c r="A47" s="12" t="inlineStr">
        <is>
          <t>Pool Mechanical (pump/chlorinator/heater)</t>
        </is>
      </c>
      <c r="B47" s="25" t="n"/>
      <c r="C47" s="26" t="n">
        <v>1</v>
      </c>
      <c r="D47" s="25" t="n">
        <v>4000</v>
      </c>
      <c r="E47" s="12" t="n">
        <v>2028</v>
      </c>
      <c r="F47" s="25" t="n">
        <v>4244</v>
      </c>
    </row>
    <row r="48">
      <c r="A48" s="12" t="inlineStr">
        <is>
          <t>Pool Cover</t>
        </is>
      </c>
      <c r="B48" s="25" t="n"/>
      <c r="C48" s="26" t="n">
        <v>1</v>
      </c>
      <c r="D48" s="25" t="n">
        <v>4000</v>
      </c>
      <c r="E48" s="12" t="n">
        <v>2028</v>
      </c>
      <c r="F48" s="25" t="n">
        <v>4244</v>
      </c>
    </row>
    <row r="49">
      <c r="A49" s="12" t="inlineStr">
        <is>
          <t>Pool Furniture</t>
        </is>
      </c>
      <c r="B49" s="25" t="n"/>
      <c r="C49" s="26" t="n">
        <v>1</v>
      </c>
      <c r="D49" s="25" t="n">
        <v>12000</v>
      </c>
      <c r="E49" s="12" t="n">
        <v>2030</v>
      </c>
      <c r="F49" s="25" t="n">
        <v>13506</v>
      </c>
    </row>
    <row r="50">
      <c r="A50" s="12" t="inlineStr">
        <is>
          <t>Pool Fence / Safety Barrier</t>
        </is>
      </c>
      <c r="B50" s="25" t="n"/>
      <c r="C50" s="26" t="n">
        <v>1</v>
      </c>
      <c r="D50" s="25" t="n">
        <v>18425</v>
      </c>
      <c r="E50" s="12" t="n">
        <v>2035</v>
      </c>
      <c r="F50" s="25" t="n">
        <v>24040</v>
      </c>
    </row>
    <row r="51">
      <c r="A51" s="12" t="inlineStr">
        <is>
          <t>Split-Rail Fence — Repair Fund</t>
        </is>
      </c>
      <c r="B51" s="25" t="n"/>
      <c r="C51" s="26" t="n">
        <v>1</v>
      </c>
      <c r="D51" s="25" t="n">
        <v>3750</v>
      </c>
      <c r="E51" s="12" t="n">
        <v>2027</v>
      </c>
      <c r="F51" s="25" t="n">
        <v>3862</v>
      </c>
    </row>
    <row r="52">
      <c r="A52" s="12" t="inlineStr">
        <is>
          <t>Board-on-Board Fence (property line)</t>
        </is>
      </c>
      <c r="B52" s="25" t="n"/>
      <c r="C52" s="26" t="n">
        <v>1</v>
      </c>
      <c r="D52" s="25" t="n">
        <v>37350</v>
      </c>
      <c r="E52" s="12" t="n">
        <v>2034</v>
      </c>
      <c r="F52" s="25" t="n">
        <v>47314</v>
      </c>
    </row>
    <row r="53">
      <c r="A53" s="14" t="inlineStr">
        <is>
          <t>TOTAL</t>
        </is>
      </c>
      <c r="D53" s="8" t="n">
        <v>1364915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AX47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6" customWidth="1" min="3" max="3"/>
    <col width="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</cols>
  <sheetData>
    <row r="1">
      <c r="A1" s="2" t="inlineStr">
        <is>
          <t>COLOR KEY</t>
        </is>
      </c>
      <c r="E1" s="2" t="inlineStr">
        <is>
          <t>CHART DATA</t>
        </is>
      </c>
    </row>
    <row r="2">
      <c r="A2" s="4" t="inlineStr">
        <is>
          <t>Color</t>
        </is>
      </c>
      <c r="B2" s="4" t="inlineStr">
        <is>
          <t>Component</t>
        </is>
      </c>
      <c r="C2" s="4" t="inlineStr">
        <is>
          <t>25-Year Total</t>
        </is>
      </c>
      <c r="E2" s="4" t="inlineStr">
        <is>
          <t>Year</t>
        </is>
      </c>
      <c r="F2" s="4" t="inlineStr">
        <is>
          <t>Aerator</t>
        </is>
      </c>
      <c r="G2" s="4" t="inlineStr">
        <is>
          <t>Asphalt Crack Filling</t>
        </is>
      </c>
      <c r="H2" s="4" t="inlineStr">
        <is>
          <t>Asphalt Driveways (Condo II)</t>
        </is>
      </c>
      <c r="I2" s="4" t="inlineStr">
        <is>
          <t>Asphalt Driveways (Condo III)</t>
        </is>
      </c>
      <c r="J2" s="4" t="inlineStr">
        <is>
          <t>Asphalt Driveways (Condo IV)</t>
        </is>
      </c>
      <c r="K2" s="4" t="inlineStr">
        <is>
          <t>Asphalt Paving (Roads)</t>
        </is>
      </c>
      <c r="L2" s="4" t="inlineStr">
        <is>
          <t>Bathroom Refurbishment</t>
        </is>
      </c>
      <c r="M2" s="4" t="inlineStr">
        <is>
          <t>Board-on-Board Fence (property line)</t>
        </is>
      </c>
      <c r="N2" s="4" t="inlineStr">
        <is>
          <t>Clubhouse Furniture</t>
        </is>
      </c>
      <c r="O2" s="4" t="inlineStr">
        <is>
          <t>Concrete Pool Apron</t>
        </is>
      </c>
      <c r="P2" s="4" t="inlineStr">
        <is>
          <t>Concrete Pool Coping</t>
        </is>
      </c>
      <c r="Q2" s="4" t="inlineStr">
        <is>
          <t>Concrete Sidewalks (Condo I)</t>
        </is>
      </c>
      <c r="R2" s="4" t="inlineStr">
        <is>
          <t>Concrete Sidewalks (Condo II)</t>
        </is>
      </c>
      <c r="S2" s="4" t="inlineStr">
        <is>
          <t>Concrete Sidewalks (Condo III)</t>
        </is>
      </c>
      <c r="T2" s="4" t="inlineStr">
        <is>
          <t>Concrete Sidewalks (Condo IV)</t>
        </is>
      </c>
      <c r="U2" s="4" t="inlineStr">
        <is>
          <t>Concrete Sidewalks (HOA)</t>
        </is>
      </c>
      <c r="V2" s="4" t="inlineStr">
        <is>
          <t>Curbing, Concrete</t>
        </is>
      </c>
      <c r="W2" s="4" t="inlineStr">
        <is>
          <t>Entrance Sign - Large</t>
        </is>
      </c>
      <c r="X2" s="4" t="inlineStr">
        <is>
          <t>Entrance Sign - Small</t>
        </is>
      </c>
      <c r="Y2" s="4" t="inlineStr">
        <is>
          <t>Fence, Vinyl Stockade</t>
        </is>
      </c>
      <c r="Z2" s="4" t="inlineStr">
        <is>
          <t>Fence, Wood Split Rail</t>
        </is>
      </c>
      <c r="AA2" s="4" t="inlineStr">
        <is>
          <t>Fire Alarm Control Panel</t>
        </is>
      </c>
      <c r="AB2" s="4" t="inlineStr">
        <is>
          <t>Fitness Room Refurb</t>
        </is>
      </c>
      <c r="AC2" s="4" t="inlineStr">
        <is>
          <t>Gutters - Clubhouse</t>
        </is>
      </c>
      <c r="AD2" s="4" t="inlineStr">
        <is>
          <t>Hot Water Heater</t>
        </is>
      </c>
      <c r="AE2" s="4" t="inlineStr">
        <is>
          <t>Kitchen Refurbishment</t>
        </is>
      </c>
      <c r="AF2" s="4" t="inlineStr">
        <is>
          <t>Leaders - Clubhouse</t>
        </is>
      </c>
      <c r="AG2" s="4" t="inlineStr">
        <is>
          <t>Lights, Entrance Sign</t>
        </is>
      </c>
      <c r="AH2" s="4" t="inlineStr">
        <is>
          <t>Lights, Entry Clubhouse</t>
        </is>
      </c>
      <c r="AI2" s="4" t="inlineStr">
        <is>
          <t>Lights, Recessed</t>
        </is>
      </c>
      <c r="AJ2" s="4" t="inlineStr">
        <is>
          <t>Lights, Street</t>
        </is>
      </c>
      <c r="AK2" s="4" t="inlineStr">
        <is>
          <t>Mailboxes</t>
        </is>
      </c>
      <c r="AL2" s="4" t="inlineStr">
        <is>
          <t>Pool Cover</t>
        </is>
      </c>
      <c r="AM2" s="4" t="inlineStr">
        <is>
          <t>Pool Fence / Safety Barrier</t>
        </is>
      </c>
      <c r="AN2" s="4" t="inlineStr">
        <is>
          <t>Pool Filter System</t>
        </is>
      </c>
      <c r="AO2" s="4" t="inlineStr">
        <is>
          <t>Pool Furniture</t>
        </is>
      </c>
      <c r="AP2" s="4" t="inlineStr">
        <is>
          <t>Pool Mechanical (pump/chlorinator/heater)</t>
        </is>
      </c>
      <c r="AQ2" s="4" t="inlineStr">
        <is>
          <t>Pool Shell Resurfacing</t>
        </is>
      </c>
      <c r="AR2" s="4" t="inlineStr">
        <is>
          <t>Roof - Clubhouse</t>
        </is>
      </c>
      <c r="AS2" s="4" t="inlineStr">
        <is>
          <t>Seal Coating</t>
        </is>
      </c>
      <c r="AT2" s="4" t="inlineStr">
        <is>
          <t>Siding, Vinyl - Clubhouse</t>
        </is>
      </c>
      <c r="AU2" s="4" t="inlineStr">
        <is>
          <t>Skylights - Clubhouse</t>
        </is>
      </c>
      <c r="AV2" s="4" t="inlineStr">
        <is>
          <t>Split-Rail Fence — Repair Fund</t>
        </is>
      </c>
      <c r="AW2" s="4" t="inlineStr">
        <is>
          <t>Stop Signs</t>
        </is>
      </c>
      <c r="AX2" s="4" t="inlineStr">
        <is>
          <t>Street Signs</t>
        </is>
      </c>
    </row>
    <row r="3">
      <c r="A3" s="27" t="n"/>
      <c r="B3" s="12" t="inlineStr">
        <is>
          <t>Aerator</t>
        </is>
      </c>
      <c r="C3" s="25" t="n">
        <v>7392</v>
      </c>
      <c r="E3" t="n">
        <v>2027</v>
      </c>
      <c r="AQ3" s="28" t="n">
        <v>23299</v>
      </c>
      <c r="AV3" s="28" t="n">
        <v>3862</v>
      </c>
    </row>
    <row r="4">
      <c r="A4" s="29" t="n"/>
      <c r="B4" s="12" t="inlineStr">
        <is>
          <t>Asphalt Crack Filling</t>
        </is>
      </c>
      <c r="C4" s="25" t="n">
        <v>109210</v>
      </c>
      <c r="E4" t="n">
        <v>2028</v>
      </c>
      <c r="G4" s="28" t="n">
        <v>15915</v>
      </c>
      <c r="AC4" s="28" t="n">
        <v>2652</v>
      </c>
      <c r="AL4" s="28" t="n">
        <v>4244</v>
      </c>
      <c r="AP4" s="28" t="n">
        <v>4244</v>
      </c>
      <c r="AS4" s="28" t="n">
        <v>17500</v>
      </c>
    </row>
    <row r="5">
      <c r="A5" s="30" t="n"/>
      <c r="B5" s="12" t="inlineStr">
        <is>
          <t>Asphalt Driveways (Condo II)</t>
        </is>
      </c>
      <c r="C5" s="25" t="n">
        <v>50582</v>
      </c>
      <c r="E5" t="n">
        <v>2030</v>
      </c>
      <c r="AO5" s="28" t="n">
        <v>13506</v>
      </c>
    </row>
    <row r="6">
      <c r="A6" s="31" t="n"/>
      <c r="B6" s="12" t="inlineStr">
        <is>
          <t>Asphalt Driveways (Condo III)</t>
        </is>
      </c>
      <c r="C6" s="25" t="n">
        <v>21234</v>
      </c>
      <c r="E6" t="n">
        <v>2031</v>
      </c>
      <c r="P6" s="28" t="n">
        <v>11477</v>
      </c>
      <c r="AV6" s="28" t="n">
        <v>4347</v>
      </c>
    </row>
    <row r="7">
      <c r="A7" s="32" t="n"/>
      <c r="B7" s="12" t="inlineStr">
        <is>
          <t>Asphalt Driveways (Condo IV)</t>
        </is>
      </c>
      <c r="C7" s="25" t="n">
        <v>342150</v>
      </c>
      <c r="E7" t="n">
        <v>2032</v>
      </c>
      <c r="AF7" s="28" t="n">
        <v>597</v>
      </c>
      <c r="AR7" s="28" t="n">
        <v>18650</v>
      </c>
      <c r="AU7" s="28" t="n">
        <v>5373</v>
      </c>
    </row>
    <row r="8">
      <c r="A8" s="33" t="n"/>
      <c r="B8" s="12" t="inlineStr">
        <is>
          <t>Asphalt Paving (Roads)</t>
        </is>
      </c>
      <c r="C8" s="25" t="n">
        <v>443487</v>
      </c>
      <c r="E8" t="n">
        <v>2033</v>
      </c>
      <c r="G8" s="28" t="n">
        <v>18444</v>
      </c>
      <c r="L8" s="28" t="n">
        <v>12299</v>
      </c>
      <c r="Q8" s="28" t="n">
        <v>7849</v>
      </c>
      <c r="R8" s="28" t="n">
        <v>2468</v>
      </c>
      <c r="S8" s="28" t="n">
        <v>1996</v>
      </c>
      <c r="T8" s="28" t="n">
        <v>6256</v>
      </c>
      <c r="U8" s="28" t="n">
        <v>24723</v>
      </c>
      <c r="AA8" s="28" t="n">
        <v>9839</v>
      </c>
      <c r="AB8" s="28" t="n">
        <v>6149</v>
      </c>
      <c r="AD8" s="28" t="n">
        <v>3070</v>
      </c>
      <c r="AE8" s="28" t="n">
        <v>4305</v>
      </c>
      <c r="AI8" s="28" t="n">
        <v>6764</v>
      </c>
      <c r="AJ8" s="28" t="n">
        <v>102325</v>
      </c>
      <c r="AS8" s="28" t="n">
        <v>20304</v>
      </c>
    </row>
    <row r="9">
      <c r="A9" s="34" t="n"/>
      <c r="B9" s="12" t="inlineStr">
        <is>
          <t>Bathroom Refurbishment</t>
        </is>
      </c>
      <c r="C9" s="25" t="n">
        <v>12299</v>
      </c>
      <c r="E9" t="n">
        <v>2034</v>
      </c>
      <c r="M9" s="28" t="n">
        <v>47314</v>
      </c>
    </row>
    <row r="10">
      <c r="A10" s="35" t="n"/>
      <c r="B10" s="12" t="inlineStr">
        <is>
          <t>Board-on-Board Fence (property line)</t>
        </is>
      </c>
      <c r="C10" s="25" t="n">
        <v>47314</v>
      </c>
      <c r="E10" t="n">
        <v>2035</v>
      </c>
      <c r="AM10" s="28" t="n">
        <v>24040</v>
      </c>
      <c r="AV10" s="28" t="n">
        <v>4893</v>
      </c>
    </row>
    <row r="11">
      <c r="A11" s="36" t="n"/>
      <c r="B11" s="12" t="inlineStr">
        <is>
          <t>Clubhouse Furniture</t>
        </is>
      </c>
      <c r="C11" s="25" t="n">
        <v>20159</v>
      </c>
      <c r="E11" t="n">
        <v>2036</v>
      </c>
      <c r="F11" s="28" t="n">
        <v>7392</v>
      </c>
      <c r="H11" s="28" t="n">
        <v>50582</v>
      </c>
      <c r="I11" s="28" t="n">
        <v>21234</v>
      </c>
      <c r="J11" s="28" t="n">
        <v>342150</v>
      </c>
      <c r="K11" s="28" t="n">
        <v>443487</v>
      </c>
      <c r="N11" s="28" t="n">
        <v>20159</v>
      </c>
      <c r="O11" s="28" t="n">
        <v>105162</v>
      </c>
      <c r="V11" s="28" t="n">
        <v>47037</v>
      </c>
      <c r="AG11" s="28" t="n">
        <v>2016</v>
      </c>
      <c r="AH11" s="28" t="n">
        <v>3629</v>
      </c>
      <c r="AN11" s="28" t="n">
        <v>13439</v>
      </c>
      <c r="AP11" s="28" t="n">
        <v>5376</v>
      </c>
    </row>
    <row r="12">
      <c r="A12" s="37" t="n"/>
      <c r="B12" s="12" t="inlineStr">
        <is>
          <t>Concrete Pool Apron</t>
        </is>
      </c>
      <c r="C12" s="25" t="n">
        <v>105162</v>
      </c>
      <c r="E12" t="n">
        <v>2037</v>
      </c>
      <c r="AL12" s="28" t="n">
        <v>5537</v>
      </c>
      <c r="AQ12" s="28" t="n">
        <v>31311</v>
      </c>
    </row>
    <row r="13">
      <c r="A13" s="38" t="n"/>
      <c r="B13" s="12" t="inlineStr">
        <is>
          <t>Concrete Pool Coping</t>
        </is>
      </c>
      <c r="C13" s="25" t="n">
        <v>11477</v>
      </c>
      <c r="E13" t="n">
        <v>2038</v>
      </c>
      <c r="G13" s="28" t="n">
        <v>21380</v>
      </c>
      <c r="AS13" s="28" t="n">
        <v>23535</v>
      </c>
    </row>
    <row r="14">
      <c r="A14" s="39" t="n"/>
      <c r="B14" s="12" t="inlineStr">
        <is>
          <t>Concrete Sidewalks (Condo I)</t>
        </is>
      </c>
      <c r="C14" s="25" t="n">
        <v>7849</v>
      </c>
      <c r="E14" t="n">
        <v>2039</v>
      </c>
      <c r="AV14" s="28" t="n">
        <v>5507</v>
      </c>
    </row>
    <row r="15">
      <c r="A15" s="40" t="n"/>
      <c r="B15" s="12" t="inlineStr">
        <is>
          <t>Concrete Sidewalks (Condo II)</t>
        </is>
      </c>
      <c r="C15" s="25" t="n">
        <v>2468</v>
      </c>
      <c r="E15" t="n">
        <v>2040</v>
      </c>
      <c r="AO15" s="28" t="n">
        <v>18151</v>
      </c>
    </row>
    <row r="16">
      <c r="A16" s="41" t="n"/>
      <c r="B16" s="12" t="inlineStr">
        <is>
          <t>Concrete Sidewalks (Condo III)</t>
        </is>
      </c>
      <c r="C16" s="25" t="n">
        <v>1996</v>
      </c>
      <c r="E16" t="n">
        <v>2041</v>
      </c>
      <c r="Z16" s="28" t="n">
        <v>190852</v>
      </c>
    </row>
    <row r="17">
      <c r="A17" s="42" t="n"/>
      <c r="B17" s="12" t="inlineStr">
        <is>
          <t>Concrete Sidewalks (Condo IV)</t>
        </is>
      </c>
      <c r="C17" s="25" t="n">
        <v>6256</v>
      </c>
      <c r="E17" t="n">
        <v>2043</v>
      </c>
      <c r="G17" s="28" t="n">
        <v>24769</v>
      </c>
      <c r="Y17" s="28" t="n">
        <v>70246</v>
      </c>
      <c r="AD17" s="28" t="n">
        <v>4151</v>
      </c>
      <c r="AS17" s="28" t="n">
        <v>27274</v>
      </c>
      <c r="AV17" s="28" t="n">
        <v>6198</v>
      </c>
    </row>
    <row r="18">
      <c r="A18" s="43" t="n"/>
      <c r="B18" s="12" t="inlineStr">
        <is>
          <t>Concrete Sidewalks (HOA)</t>
        </is>
      </c>
      <c r="C18" s="25" t="n">
        <v>24723</v>
      </c>
      <c r="E18" t="n">
        <v>2044</v>
      </c>
      <c r="AP18" s="28" t="n">
        <v>6810</v>
      </c>
    </row>
    <row r="19">
      <c r="A19" s="44" t="n"/>
      <c r="B19" s="12" t="inlineStr">
        <is>
          <t>Curbing, Concrete</t>
        </is>
      </c>
      <c r="C19" s="25" t="n">
        <v>47037</v>
      </c>
      <c r="E19" t="n">
        <v>2046</v>
      </c>
      <c r="W19" s="28" t="n">
        <v>36122</v>
      </c>
      <c r="X19" s="28" t="n">
        <v>21673</v>
      </c>
      <c r="AL19" s="28" t="n">
        <v>7224</v>
      </c>
      <c r="AW19" s="28" t="n">
        <v>4515</v>
      </c>
      <c r="AX19" s="28" t="n">
        <v>3612</v>
      </c>
    </row>
    <row r="20">
      <c r="A20" s="45" t="n"/>
      <c r="B20" s="12" t="inlineStr">
        <is>
          <t>Entrance Sign - Large</t>
        </is>
      </c>
      <c r="C20" s="25" t="n">
        <v>36122</v>
      </c>
      <c r="E20" t="n">
        <v>2047</v>
      </c>
      <c r="AQ20" s="28" t="n">
        <v>42080</v>
      </c>
      <c r="AV20" s="28" t="n">
        <v>6976</v>
      </c>
    </row>
    <row r="21">
      <c r="A21" s="46" t="n"/>
      <c r="B21" s="12" t="inlineStr">
        <is>
          <t>Entrance Sign - Small</t>
        </is>
      </c>
      <c r="C21" s="25" t="n">
        <v>21673</v>
      </c>
      <c r="E21" t="n">
        <v>2048</v>
      </c>
      <c r="G21" s="28" t="n">
        <v>28702</v>
      </c>
      <c r="AS21" s="28" t="n">
        <v>31654</v>
      </c>
      <c r="AT21" s="28" t="n">
        <v>57482</v>
      </c>
    </row>
    <row r="22">
      <c r="A22" s="47" t="n"/>
      <c r="B22" s="12" t="inlineStr">
        <is>
          <t>Fence, Vinyl Stockade</t>
        </is>
      </c>
      <c r="C22" s="25" t="n">
        <v>70246</v>
      </c>
      <c r="E22" t="n">
        <v>2049</v>
      </c>
      <c r="AK22" s="28" t="n">
        <v>40261</v>
      </c>
    </row>
    <row r="23">
      <c r="A23" s="48" t="n"/>
      <c r="B23" s="12" t="inlineStr">
        <is>
          <t>Fence, Wood Split Rail</t>
        </is>
      </c>
      <c r="C23" s="25" t="n">
        <v>190852</v>
      </c>
      <c r="E23" t="n">
        <v>2050</v>
      </c>
      <c r="AO23" s="28" t="n">
        <v>24394</v>
      </c>
    </row>
    <row r="24">
      <c r="A24" s="49" t="n"/>
      <c r="B24" s="12" t="inlineStr">
        <is>
          <t>Fire Alarm Control Panel</t>
        </is>
      </c>
      <c r="C24" s="25" t="n">
        <v>9839</v>
      </c>
    </row>
    <row r="25">
      <c r="A25" s="50" t="n"/>
      <c r="B25" s="12" t="inlineStr">
        <is>
          <t>Fitness Room Refurb</t>
        </is>
      </c>
      <c r="C25" s="25" t="n">
        <v>6149</v>
      </c>
    </row>
    <row r="26">
      <c r="A26" s="51" t="n"/>
      <c r="B26" s="12" t="inlineStr">
        <is>
          <t>Gutters - Clubhouse</t>
        </is>
      </c>
      <c r="C26" s="25" t="n">
        <v>2652</v>
      </c>
    </row>
    <row r="27">
      <c r="A27" s="52" t="n"/>
      <c r="B27" s="12" t="inlineStr">
        <is>
          <t>Hot Water Heater</t>
        </is>
      </c>
      <c r="C27" s="25" t="n">
        <v>7221</v>
      </c>
    </row>
    <row r="28">
      <c r="A28" s="53" t="n"/>
      <c r="B28" s="12" t="inlineStr">
        <is>
          <t>Kitchen Refurbishment</t>
        </is>
      </c>
      <c r="C28" s="25" t="n">
        <v>4305</v>
      </c>
    </row>
    <row r="29">
      <c r="A29" s="54" t="n"/>
      <c r="B29" s="12" t="inlineStr">
        <is>
          <t>Leaders - Clubhouse</t>
        </is>
      </c>
      <c r="C29" s="25" t="n">
        <v>597</v>
      </c>
    </row>
    <row r="30">
      <c r="A30" s="55" t="n"/>
      <c r="B30" s="12" t="inlineStr">
        <is>
          <t>Lights, Entrance Sign</t>
        </is>
      </c>
      <c r="C30" s="25" t="n">
        <v>2016</v>
      </c>
    </row>
    <row r="31">
      <c r="A31" s="56" t="n"/>
      <c r="B31" s="12" t="inlineStr">
        <is>
          <t>Lights, Entry Clubhouse</t>
        </is>
      </c>
      <c r="C31" s="25" t="n">
        <v>3629</v>
      </c>
    </row>
    <row r="32">
      <c r="A32" s="57" t="n"/>
      <c r="B32" s="12" t="inlineStr">
        <is>
          <t>Lights, Recessed</t>
        </is>
      </c>
      <c r="C32" s="25" t="n">
        <v>6764</v>
      </c>
    </row>
    <row r="33">
      <c r="A33" s="27" t="n"/>
      <c r="B33" s="12" t="inlineStr">
        <is>
          <t>Lights, Street</t>
        </is>
      </c>
      <c r="C33" s="25" t="n">
        <v>102325</v>
      </c>
    </row>
    <row r="34">
      <c r="A34" s="29" t="n"/>
      <c r="B34" s="12" t="inlineStr">
        <is>
          <t>Mailboxes</t>
        </is>
      </c>
      <c r="C34" s="25" t="n">
        <v>40261</v>
      </c>
    </row>
    <row r="35">
      <c r="A35" s="30" t="n"/>
      <c r="B35" s="12" t="inlineStr">
        <is>
          <t>Pool Cover</t>
        </is>
      </c>
      <c r="C35" s="25" t="n">
        <v>17005</v>
      </c>
    </row>
    <row r="36">
      <c r="A36" s="31" t="n"/>
      <c r="B36" s="12" t="inlineStr">
        <is>
          <t>Pool Fence / Safety Barrier</t>
        </is>
      </c>
      <c r="C36" s="25" t="n">
        <v>24040</v>
      </c>
    </row>
    <row r="37">
      <c r="A37" s="32" t="n"/>
      <c r="B37" s="12" t="inlineStr">
        <is>
          <t>Pool Filter System</t>
        </is>
      </c>
      <c r="C37" s="25" t="n">
        <v>13439</v>
      </c>
    </row>
    <row r="38">
      <c r="A38" s="33" t="n"/>
      <c r="B38" s="12" t="inlineStr">
        <is>
          <t>Pool Furniture</t>
        </is>
      </c>
      <c r="C38" s="25" t="n">
        <v>56051</v>
      </c>
    </row>
    <row r="39">
      <c r="A39" s="34" t="n"/>
      <c r="B39" s="12" t="inlineStr">
        <is>
          <t>Pool Mechanical (pump/chlorinator/heater)</t>
        </is>
      </c>
      <c r="C39" s="25" t="n">
        <v>16430</v>
      </c>
    </row>
    <row r="40">
      <c r="A40" s="35" t="n"/>
      <c r="B40" s="12" t="inlineStr">
        <is>
          <t>Pool Shell Resurfacing</t>
        </is>
      </c>
      <c r="C40" s="25" t="n">
        <v>96690</v>
      </c>
    </row>
    <row r="41">
      <c r="A41" s="36" t="n"/>
      <c r="B41" s="12" t="inlineStr">
        <is>
          <t>Roof - Clubhouse</t>
        </is>
      </c>
      <c r="C41" s="25" t="n">
        <v>18650</v>
      </c>
    </row>
    <row r="42">
      <c r="A42" s="37" t="n"/>
      <c r="B42" s="12" t="inlineStr">
        <is>
          <t>Seal Coating</t>
        </is>
      </c>
      <c r="C42" s="25" t="n">
        <v>120267</v>
      </c>
    </row>
    <row r="43">
      <c r="A43" s="38" t="n"/>
      <c r="B43" s="12" t="inlineStr">
        <is>
          <t>Siding, Vinyl - Clubhouse</t>
        </is>
      </c>
      <c r="C43" s="25" t="n">
        <v>57482</v>
      </c>
    </row>
    <row r="44">
      <c r="A44" s="39" t="n"/>
      <c r="B44" s="12" t="inlineStr">
        <is>
          <t>Skylights - Clubhouse</t>
        </is>
      </c>
      <c r="C44" s="25" t="n">
        <v>5373</v>
      </c>
    </row>
    <row r="45">
      <c r="A45" s="40" t="n"/>
      <c r="B45" s="12" t="inlineStr">
        <is>
          <t>Split-Rail Fence — Repair Fund</t>
        </is>
      </c>
      <c r="C45" s="25" t="n">
        <v>31783</v>
      </c>
    </row>
    <row r="46">
      <c r="A46" s="41" t="n"/>
      <c r="B46" s="12" t="inlineStr">
        <is>
          <t>Stop Signs</t>
        </is>
      </c>
      <c r="C46" s="25" t="n">
        <v>4515</v>
      </c>
    </row>
    <row r="47">
      <c r="A47" s="42" t="n"/>
      <c r="B47" s="12" t="inlineStr">
        <is>
          <t>Street Signs</t>
        </is>
      </c>
      <c r="C47" s="25" t="n">
        <v>3612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2026-10-11T14:18:29Z</dcterms:created>
  <dcterms:modified xsi:type="dcterms:W3CDTF">2026-10-11T14:18:29Z</dcterms:modified>
</cp:coreProperties>
</file>